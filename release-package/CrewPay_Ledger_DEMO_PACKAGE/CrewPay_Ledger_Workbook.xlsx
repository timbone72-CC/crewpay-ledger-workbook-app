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Workers" sheetId="3" state="visible" r:id="rId3"/>
    <sheet xmlns:r="http://schemas.openxmlformats.org/officeDocument/2006/relationships" name="Jobs" sheetId="4" state="visible" r:id="rId4"/>
    <sheet xmlns:r="http://schemas.openxmlformats.org/officeDocument/2006/relationships" name="Time Entries" sheetId="5" state="visible" r:id="rId5"/>
    <sheet xmlns:r="http://schemas.openxmlformats.org/officeDocument/2006/relationships" name="Pay Periods" sheetId="6" state="visible" r:id="rId6"/>
    <sheet xmlns:r="http://schemas.openxmlformats.org/officeDocument/2006/relationships" name="Worker Proof" sheetId="7" state="visible" r:id="rId7"/>
    <sheet xmlns:r="http://schemas.openxmlformats.org/officeDocument/2006/relationships" name="Access Status Demo" sheetId="8" state="visible" r:id="rId8"/>
    <sheet xmlns:r="http://schemas.openxmlformats.org/officeDocument/2006/relationships" name="Workflow Demo" sheetId="9" state="visible" r:id="rId9"/>
    <sheet xmlns:r="http://schemas.openxmlformats.org/officeDocument/2006/relationships" name="Proof Exports" sheetId="10" state="visible" r:id="rId10"/>
    <sheet xmlns:r="http://schemas.openxmlformats.org/officeDocument/2006/relationships" name="Access Log" sheetId="11" state="visible" r:id="rId11"/>
    <sheet xmlns:r="http://schemas.openxmlformats.org/officeDocument/2006/relationships" name="Correction Log" sheetId="12" state="visible" r:id="rId12"/>
    <sheet xmlns:r="http://schemas.openxmlformats.org/officeDocument/2006/relationships" name="Schedule" sheetId="13" state="visible" r:id="rId13"/>
    <sheet xmlns:r="http://schemas.openxmlformats.org/officeDocument/2006/relationships" name="Admin Notices" sheetId="14" state="visible" r:id="rId14"/>
    <sheet xmlns:r="http://schemas.openxmlformats.org/officeDocument/2006/relationships" name="Calendar Sync Log" sheetId="15" state="visible" r:id="rId15"/>
    <sheet xmlns:r="http://schemas.openxmlformats.org/officeDocument/2006/relationships" name="Dropdown Lists" sheetId="16" state="visible" r:id="rId16"/>
  </sheets>
  <definedNames>
    <definedName name="_xlnm._FilterDatabase" localSheetId="2" hidden="1">'Workers'!$A$1:$H$4</definedName>
    <definedName name="_xlnm._FilterDatabase" localSheetId="3" hidden="1">'Jobs'!$A$1:$G$4</definedName>
    <definedName name="_xlnm._FilterDatabase" localSheetId="4" hidden="1">'Time Entries'!$A$1:$T$6</definedName>
    <definedName name="_xlnm._FilterDatabase" localSheetId="5" hidden="1">'Pay Periods'!$A$1:$O$4</definedName>
    <definedName name="_xlnm.Print_Titles" localSheetId="6">'Worker Proof'!$1:$12</definedName>
    <definedName name="_xlnm.Print_Area" localSheetId="6">'Worker Proof'!$A$1:$M$34</definedName>
    <definedName name="_xlnm._FilterDatabase" localSheetId="9" hidden="1">'Proof Exports'!$A$1:$I$3</definedName>
    <definedName name="_xlnm._FilterDatabase" localSheetId="10" hidden="1">'Access Log'!$A$1:$H$2</definedName>
    <definedName name="_xlnm._FilterDatabase" localSheetId="11" hidden="1">'Correction Log'!$A$1:$K$2</definedName>
    <definedName name="_xlnm._FilterDatabase" localSheetId="12" hidden="1">'Schedule'!$A$1:$K$3</definedName>
    <definedName name="_xlnm._FilterDatabase" localSheetId="13" hidden="1">'Admin Notices'!$A$1:$M$3</definedName>
    <definedName name="_xlnm._FilterDatabase" localSheetId="14" hidden="1">'Calendar Sync Log'!$A$1:$J$2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/yyyy"/>
    <numFmt numFmtId="166" formatCode="$#,##0.00"/>
    <numFmt numFmtId="167" formatCode="yyyy-mm-dd h:mm:ss"/>
    <numFmt numFmtId="168" formatCode="m/d/yyyy h:mm"/>
  </numFmts>
  <fonts count="14">
    <font>
      <name val="Calibri"/>
      <family val="2"/>
      <color theme="1"/>
      <sz val="11"/>
      <scheme val="minor"/>
    </font>
    <font>
      <name val="Aptos"/>
      <b val="1"/>
      <color rgb="00FFFFFF"/>
      <sz val="20"/>
    </font>
    <font>
      <name val="Aptos"/>
      <i val="1"/>
      <color rgb="006B7280"/>
    </font>
    <font>
      <name val="Aptos"/>
      <b val="1"/>
      <color rgb="0012324A"/>
      <sz val="11"/>
    </font>
    <font>
      <name val="Aptos"/>
      <color rgb="001F2937"/>
      <sz val="10"/>
    </font>
    <font>
      <name val="Aptos"/>
      <b val="1"/>
      <color rgb="0012324A"/>
      <sz val="18"/>
    </font>
    <font>
      <b val="1"/>
      <color rgb="0012324A"/>
      <sz val="13"/>
    </font>
    <font>
      <name val="Aptos"/>
      <b val="1"/>
      <color rgb="00FFFFFF"/>
    </font>
    <font>
      <b val="1"/>
      <color rgb="00FFFFFF"/>
      <sz val="20"/>
    </font>
    <font>
      <i val="1"/>
      <color rgb="006B7280"/>
    </font>
    <font>
      <b val="1"/>
    </font>
    <font>
      <b val="1"/>
      <color rgb="0012324A"/>
    </font>
    <font>
      <b val="1"/>
      <color rgb="0012324A"/>
      <sz val="18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2324A"/>
      </patternFill>
    </fill>
    <fill>
      <patternFill patternType="solid">
        <fgColor rgb="00EEF6FC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CAD6E2"/>
      </left>
      <right style="thin">
        <color rgb="00CAD6E2"/>
      </right>
      <top style="thin">
        <color rgb="00CAD6E2"/>
      </top>
      <bottom style="thin">
        <color rgb="00CAD6E2"/>
      </bottom>
    </border>
    <border>
      <bottom style="medium">
        <color rgb="001E4E6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4" fillId="3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6" fontId="0" fillId="5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2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8" fontId="0" fillId="5" borderId="1" applyAlignment="1" pivotButton="0" quotePrefix="0" xfId="0">
      <alignment vertical="top" wrapText="1"/>
    </xf>
    <xf numFmtId="2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68" fontId="0" fillId="4" borderId="1" applyAlignment="1" pivotButton="0" quotePrefix="0" xfId="0">
      <alignment vertical="top" wrapText="1"/>
    </xf>
    <xf numFmtId="165" fontId="0" fillId="0" borderId="0" pivotButton="0" quotePrefix="0" xfId="0"/>
    <xf numFmtId="20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0" fontId="8" fillId="2" borderId="0" pivotButton="0" quotePrefix="0" xfId="0"/>
    <xf numFmtId="0" fontId="9" fillId="3" borderId="0" pivotButton="0" quotePrefix="0" xfId="0"/>
    <xf numFmtId="0" fontId="1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1" fillId="3" borderId="1" pivotButton="0" quotePrefix="0" xfId="0"/>
    <xf numFmtId="0" fontId="10" fillId="5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168" fontId="0" fillId="4" borderId="1" pivotButton="0" quotePrefix="0" xfId="0"/>
    <xf numFmtId="0" fontId="7" fillId="2" borderId="2" applyAlignment="1" pivotButton="0" quotePrefix="0" xfId="0">
      <alignment horizontal="center" vertical="center" wrapText="1"/>
    </xf>
    <xf numFmtId="0" fontId="10" fillId="0" borderId="0" pivotButton="0" quotePrefix="0" xfId="0"/>
    <xf numFmtId="0" fontId="3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3" fillId="7" borderId="1" applyAlignment="1" pivotButton="0" quotePrefix="0" xfId="0">
      <alignment horizontal="left" vertical="top" wrapText="1"/>
    </xf>
    <xf numFmtId="0" fontId="0" fillId="7" borderId="1" pivotButton="0" quotePrefix="0" xfId="0"/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3" fillId="2" borderId="1" pivotButton="0" quotePrefix="0" xfId="0"/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CEBF7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E5E7EB"/>
        </patternFill>
      </fill>
    </dxf>
    <dxf>
      <fill>
        <patternFill patternType="solid">
          <fgColor rgb="00FCE7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</cols>
  <sheetData>
    <row r="1" ht="24" customHeight="1">
      <c r="A1" s="1" t="inlineStr">
        <is>
          <t>CrewPay Ledger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Public demo guide for a workbook-first worker proof and pay-period ledger.</t>
        </is>
      </c>
    </row>
    <row r="3" ht="24" customHeight="1"/>
    <row r="4" ht="24" customHeight="1">
      <c r="A4" s="4" t="inlineStr">
        <is>
          <t>What this workbook does</t>
        </is>
      </c>
      <c r="B4" s="5" t="n"/>
      <c r="C4" s="5" t="n"/>
      <c r="D4" s="5" t="n"/>
      <c r="E4" s="4" t="inlineStr">
        <is>
          <t>What this workbook does not do</t>
        </is>
      </c>
      <c r="F4" s="5" t="n"/>
      <c r="G4" s="5" t="n"/>
      <c r="H4" s="5" t="n"/>
    </row>
    <row r="5" ht="24" customHeight="1">
      <c r="A5" s="6" t="inlineStr">
        <is>
          <t>Tracks workers, jobs, time entries, pay periods, proof exports, access changes, correction notes, schedules, and admin notices.</t>
        </is>
      </c>
      <c r="B5" s="5" t="n"/>
      <c r="C5" s="5" t="n"/>
      <c r="D5" s="5" t="n"/>
      <c r="E5" s="6" t="inlineStr">
        <is>
          <t>It is not a full payroll system. It does not include payroll tax logic, HR compliance logic, worker accounts, enterprise permissions, backend storage, or paid APIs.</t>
        </is>
      </c>
      <c r="F5" s="5" t="n"/>
      <c r="G5" s="5" t="n"/>
      <c r="H5" s="5" t="n"/>
    </row>
    <row r="6" ht="24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24" customHeight="1"/>
    <row r="8" ht="24" customHeight="1">
      <c r="A8" s="4" t="inlineStr">
        <is>
          <t>Source of truth</t>
        </is>
      </c>
      <c r="B8" s="5" t="n"/>
      <c r="C8" s="5" t="n"/>
      <c r="D8" s="5" t="n"/>
      <c r="E8" s="4" t="inlineStr">
        <is>
          <t>Worker proof protection</t>
        </is>
      </c>
      <c r="F8" s="5" t="n"/>
      <c r="G8" s="5" t="n"/>
      <c r="H8" s="5" t="n"/>
    </row>
    <row r="9" ht="24" customHeight="1">
      <c r="A9" s="6" t="inlineStr">
        <is>
          <t>The workbook is the Level 1 ledger. Apps and scripts are optional helpers and should write back to workbook records.</t>
        </is>
      </c>
      <c r="B9" s="5" t="n"/>
      <c r="C9" s="5" t="n"/>
      <c r="D9" s="5" t="n"/>
      <c r="E9" s="6" t="inlineStr">
        <is>
          <t>Worker Proof is selected by one worker and one pay period. It must never become a crew-wide export.</t>
        </is>
      </c>
      <c r="F9" s="5" t="n"/>
      <c r="G9" s="5" t="n"/>
      <c r="H9" s="5" t="n"/>
    </row>
    <row r="10" ht="24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24" customHeight="1"/>
    <row r="12" ht="24" customHeight="1">
      <c r="A12" s="4" t="inlineStr">
        <is>
          <t>Inactive worker rule</t>
        </is>
      </c>
      <c r="B12" s="5" t="n"/>
      <c r="C12" s="5" t="n"/>
      <c r="D12" s="5" t="n"/>
      <c r="E12" s="4" t="inlineStr">
        <is>
          <t>Correction notes</t>
        </is>
      </c>
      <c r="F12" s="5" t="n"/>
      <c r="G12" s="5" t="n"/>
      <c r="H12" s="5" t="n"/>
    </row>
    <row r="13" ht="24" customHeight="1">
      <c r="A13" s="6" t="inlineStr">
        <is>
          <t>Inactive workers lose future-use access only. Their historical time, pay periods, corrections, and proof stay visible.</t>
        </is>
      </c>
      <c r="B13" s="5" t="n"/>
      <c r="C13" s="5" t="n"/>
      <c r="D13" s="5" t="n"/>
      <c r="E13" s="6" t="inlineStr">
        <is>
          <t>Corrections should be visible in Time Entries and Correction Log. No silent overwrite of proof records.</t>
        </is>
      </c>
      <c r="F13" s="5" t="n"/>
      <c r="G13" s="5" t="n"/>
      <c r="H13" s="5" t="n"/>
    </row>
    <row r="14" ht="24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24" customHeight="1"/>
    <row r="16" ht="24" customHeight="1">
      <c r="A16" s="4" t="inlineStr">
        <is>
          <t>Schedule/calendar note</t>
        </is>
      </c>
      <c r="B16" s="5" t="n"/>
      <c r="C16" s="5" t="n"/>
      <c r="D16" s="5" t="n"/>
      <c r="E16" s="4" t="inlineStr">
        <is>
          <t>Admin notices</t>
        </is>
      </c>
      <c r="F16" s="5" t="n"/>
      <c r="G16" s="5" t="n"/>
      <c r="H16" s="5" t="n"/>
    </row>
    <row r="17" ht="24" customHeight="1">
      <c r="A17" s="6" t="inlineStr">
        <is>
          <t>Schedule and Google Calendar are planning/reference views only. Time Entries and Pay Periods remain proof.</t>
        </is>
      </c>
      <c r="B17" s="5" t="n"/>
      <c r="C17" s="5" t="n"/>
      <c r="D17" s="5" t="n"/>
      <c r="E17" s="6" t="inlineStr">
        <is>
          <t>Admin Notices are one-way admin-to-worker or admin-to-all notices. They are not chat and not proof.</t>
        </is>
      </c>
      <c r="F17" s="5" t="n"/>
      <c r="G17" s="5" t="n"/>
      <c r="H17" s="5" t="n"/>
    </row>
    <row r="18" ht="24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24" customHeight="1"/>
    <row r="20" ht="24" customHeight="1">
      <c r="A20" s="4" t="inlineStr">
        <is>
          <t>Level 1 / 1.5 / 2 readiness</t>
        </is>
      </c>
      <c r="B20" s="5" t="n"/>
      <c r="C20" s="5" t="n"/>
      <c r="D20" s="5" t="n"/>
      <c r="E20" s="4" t="inlineStr">
        <is>
          <t>Public demo safety note</t>
        </is>
      </c>
      <c r="F20" s="5" t="n"/>
      <c r="G20" s="5" t="n"/>
      <c r="H20" s="5" t="n"/>
    </row>
    <row r="21" ht="24" customHeight="1">
      <c r="A21" s="6" t="inlineStr">
        <is>
          <t>Level 1 is workbook-native. Level 1.5 adds optional Apps Script helpers. Level 2 can later move to a fuller app without changing the proof rules.</t>
        </is>
      </c>
      <c r="B21" s="5" t="n"/>
      <c r="C21" s="5" t="n"/>
      <c r="D21" s="5" t="n"/>
      <c r="E21" s="6" t="inlineStr">
        <is>
          <t>All sample names, emails, jobs, notices, and records are fictional demo data. No private worker or client data is included.</t>
        </is>
      </c>
      <c r="F21" s="5" t="n"/>
      <c r="G21" s="5" t="n"/>
      <c r="H21" s="5" t="n"/>
    </row>
    <row r="22" ht="24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24" customHeight="1"/>
  </sheetData>
  <mergeCells count="22">
    <mergeCell ref="A8:D8"/>
    <mergeCell ref="E17:H18"/>
    <mergeCell ref="A4:D4"/>
    <mergeCell ref="A20:D20"/>
    <mergeCell ref="E13:H14"/>
    <mergeCell ref="E16:H16"/>
    <mergeCell ref="E9:H10"/>
    <mergeCell ref="E12:H12"/>
    <mergeCell ref="A1:J1"/>
    <mergeCell ref="A21:D22"/>
    <mergeCell ref="A5:D6"/>
    <mergeCell ref="A17:D18"/>
    <mergeCell ref="E8:H8"/>
    <mergeCell ref="E4:H4"/>
    <mergeCell ref="A13:D14"/>
    <mergeCell ref="E20:H20"/>
    <mergeCell ref="A16:D16"/>
    <mergeCell ref="A9:D10"/>
    <mergeCell ref="A12:D12"/>
    <mergeCell ref="E21:H22"/>
    <mergeCell ref="A2:J2"/>
    <mergeCell ref="E5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4" customWidth="1" min="4" max="4"/>
    <col width="20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</cols>
  <sheetData>
    <row r="1" ht="34" customHeight="1">
      <c r="A1" s="1" t="inlineStr">
        <is>
          <t>CrewPay Ledger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Workbook-first operating snapshot for worker proof, approvals, pay periods, and audit readiness.</t>
        </is>
      </c>
    </row>
    <row r="4">
      <c r="A4" s="4" t="inlineStr">
        <is>
          <t>Active Workers</t>
        </is>
      </c>
      <c r="B4" s="5" t="n"/>
      <c r="C4" s="4" t="inlineStr">
        <is>
          <t>Submitted Entries</t>
        </is>
      </c>
      <c r="D4" s="5" t="n"/>
      <c r="E4" s="4" t="inlineStr">
        <is>
          <t>Approved Entries</t>
        </is>
      </c>
      <c r="F4" s="5" t="n"/>
      <c r="G4" s="4" t="inlineStr">
        <is>
          <t>Rejected Entries</t>
        </is>
      </c>
      <c r="H4" s="5" t="n"/>
    </row>
    <row r="5">
      <c r="A5" s="7">
        <f>COUNTIF(Workers!$E$2:$E$200,"Active")</f>
        <v/>
      </c>
      <c r="B5" s="5" t="n"/>
      <c r="C5" s="7">
        <f>COUNTIF('Time Entries'!$P$2:$P$200,"Submitted")</f>
        <v/>
      </c>
      <c r="D5" s="5" t="n"/>
      <c r="E5" s="7">
        <f>COUNTIF('Time Entries'!$P$2:$P$200,"Approved")+COUNTIF('Time Entries'!$P$2:$P$200,"Finalized")+COUNTIF('Time Entries'!$P$2:$P$200,"Paid")</f>
        <v/>
      </c>
      <c r="F5" s="5" t="n"/>
      <c r="G5" s="7">
        <f>COUNTIF('Time Entries'!$P$2:$P$200,"Rejected")</f>
        <v/>
      </c>
      <c r="H5" s="5" t="n"/>
    </row>
    <row r="8">
      <c r="A8" s="4" t="inlineStr">
        <is>
          <t>Current Pay Period</t>
        </is>
      </c>
      <c r="B8" s="5" t="n"/>
      <c r="C8" s="4" t="inlineStr">
        <is>
          <t>Total Approved Hours</t>
        </is>
      </c>
      <c r="D8" s="5" t="n"/>
      <c r="E8" s="4" t="inlineStr">
        <is>
          <t>Paid Proof Records</t>
        </is>
      </c>
      <c r="F8" s="5" t="n"/>
      <c r="G8" s="4" t="inlineStr">
        <is>
          <t>Inactive Workers</t>
        </is>
      </c>
      <c r="H8" s="5" t="n"/>
    </row>
    <row r="9">
      <c r="A9" s="7">
        <f>IFERROR(INDEX('Pay Periods'!$A$2:$A$100,MATCH("Open",'Pay Periods'!$F$2:$F$100,0)),"Demo sample")</f>
        <v/>
      </c>
      <c r="B9" s="5" t="n"/>
      <c r="C9" s="8">
        <f>SUMIFS('Time Entries'!$J$2:$J$200,'Time Entries'!$P$2:$P$200,"Approved")+SUMIFS('Time Entries'!$J$2:$J$200,'Time Entries'!$P$2:$P$200,"Finalized")+SUMIFS('Time Entries'!$J$2:$J$200,'Time Entries'!$P$2:$P$200,"Paid")</f>
        <v/>
      </c>
      <c r="D9" s="5" t="n"/>
      <c r="E9" s="7">
        <f>COUNTIFS('Proof Exports'!$E$2:$E$100,"&lt;&gt;",'Proof Exports'!$D$2:$D$100,"&lt;&gt;")</f>
        <v/>
      </c>
      <c r="F9" s="5" t="n"/>
      <c r="G9" s="7">
        <f>COUNTIF(Workers!$E$2:$E$200,"Inactive")</f>
        <v/>
      </c>
      <c r="H9" s="5" t="n"/>
    </row>
    <row r="12">
      <c r="A12" s="4" t="inlineStr">
        <is>
          <t>Corrections Pending</t>
        </is>
      </c>
      <c r="B12" s="5" t="n"/>
      <c r="C12" s="9" t="inlineStr">
        <is>
          <t>Proof Privacy Rule</t>
        </is>
      </c>
      <c r="D12" s="10" t="n"/>
      <c r="E12" s="10" t="n"/>
      <c r="F12" s="10" t="n"/>
      <c r="G12" s="9" t="inlineStr">
        <is>
          <t>Schedule Boundary</t>
        </is>
      </c>
      <c r="H12" s="10" t="n"/>
      <c r="I12" s="10" t="n"/>
    </row>
    <row r="13">
      <c r="A13" s="7">
        <f>COUNTIF('Time Entries'!$S$2:$S$200,"&lt;&gt;")</f>
        <v/>
      </c>
      <c r="B13" s="5" t="n"/>
      <c r="C13" s="11" t="inlineStr">
        <is>
          <t>Worker Proof and exports are selected-worker / selected-pay-period only.</t>
        </is>
      </c>
      <c r="D13" s="10" t="n"/>
      <c r="E13" s="10" t="n"/>
      <c r="F13" s="10" t="n"/>
      <c r="G13" s="11" t="inlineStr">
        <is>
          <t>Calendar is a planning mirror. It never becomes proof.</t>
        </is>
      </c>
      <c r="H13" s="10" t="n"/>
      <c r="I13" s="10" t="n"/>
    </row>
    <row r="16">
      <c r="A16" s="12" t="inlineStr">
        <is>
          <t>Operational Status</t>
        </is>
      </c>
      <c r="B16" s="12" t="n"/>
      <c r="E16" s="4" t="inlineStr">
        <is>
          <t>Demo Boundaries</t>
        </is>
      </c>
      <c r="F16" s="5" t="n"/>
      <c r="G16" s="5" t="n"/>
      <c r="H16" s="5" t="n"/>
      <c r="I16" s="5" t="n"/>
    </row>
    <row r="17">
      <c r="A17" s="13" t="inlineStr">
        <is>
          <t>Worker access</t>
        </is>
      </c>
      <c r="B17" s="13">
        <f>IF(COUNTIF(Workers!$E$2:$E$200,"Inactive")&gt;0,"Inactive archive present","All active")</f>
        <v/>
      </c>
      <c r="E17" s="6" t="inlineStr">
        <is>
          <t>No worker accounts, backend database, payroll tax logic, HR compliance workflow, chat, or worker-to-worker messaging are part of this workbook demo.</t>
        </is>
      </c>
      <c r="F17" s="5" t="n"/>
      <c r="G17" s="5" t="n"/>
      <c r="H17" s="5" t="n"/>
      <c r="I17" s="5" t="n"/>
    </row>
    <row r="18">
      <c r="A18" s="14" t="inlineStr">
        <is>
          <t>Approval queue</t>
        </is>
      </c>
      <c r="B18" s="14">
        <f>IF(COUNTIF('Time Entries'!$P$2:$P$200,"Submitted")&gt;0,"Review submitted time","No submitted entries")</f>
        <v/>
      </c>
      <c r="E18" s="5" t="n"/>
      <c r="F18" s="5" t="n"/>
      <c r="G18" s="5" t="n"/>
      <c r="H18" s="5" t="n"/>
      <c r="I18" s="5" t="n"/>
    </row>
    <row r="19">
      <c r="A19" s="13" t="inlineStr">
        <is>
          <t>Proof exports</t>
        </is>
      </c>
      <c r="B19" s="13">
        <f>IF(COUNTA('Proof Exports'!$A$2:$A$100)&gt;0,"Export log active","No exports logged")</f>
        <v/>
      </c>
      <c r="E19" s="5" t="n"/>
      <c r="F19" s="5" t="n"/>
      <c r="G19" s="5" t="n"/>
      <c r="H19" s="5" t="n"/>
      <c r="I19" s="5" t="n"/>
    </row>
    <row r="20">
      <c r="A20" s="14" t="inlineStr">
        <is>
          <t>Corrections</t>
        </is>
      </c>
      <c r="B20" s="14">
        <f>IF(COUNTA('Correction Log'!$A$2:$A$100)&gt;0,"Correction log active","No corrections logged")</f>
        <v/>
      </c>
      <c r="E20" s="5" t="n"/>
      <c r="F20" s="5" t="n"/>
      <c r="G20" s="5" t="n"/>
      <c r="H20" s="5" t="n"/>
      <c r="I20" s="5" t="n"/>
    </row>
  </sheetData>
  <mergeCells count="26">
    <mergeCell ref="G13:I13"/>
    <mergeCell ref="C5:D5"/>
    <mergeCell ref="E5:F5"/>
    <mergeCell ref="G8:H8"/>
    <mergeCell ref="E8:F8"/>
    <mergeCell ref="C4:D4"/>
    <mergeCell ref="C13:F13"/>
    <mergeCell ref="E4:F4"/>
    <mergeCell ref="C9:D9"/>
    <mergeCell ref="E9:F9"/>
    <mergeCell ref="A12:B12"/>
    <mergeCell ref="A1:J1"/>
    <mergeCell ref="A5:B5"/>
    <mergeCell ref="G5:H5"/>
    <mergeCell ref="G12:I12"/>
    <mergeCell ref="A8:B8"/>
    <mergeCell ref="C8:D8"/>
    <mergeCell ref="A4:B4"/>
    <mergeCell ref="G4:H4"/>
    <mergeCell ref="E17:I20"/>
    <mergeCell ref="E16:I16"/>
    <mergeCell ref="C12:F12"/>
    <mergeCell ref="A13:B13"/>
    <mergeCell ref="A2:J2"/>
    <mergeCell ref="A9:B9"/>
    <mergeCell ref="G9: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6" customWidth="1" min="4" max="4"/>
    <col width="16" customWidth="1" min="5" max="5"/>
    <col width="14" customWidth="1" min="6" max="6"/>
    <col width="14" customWidth="1" min="7" max="7"/>
    <col width="42" customWidth="1" min="8" max="8"/>
  </cols>
  <sheetData>
    <row r="1">
      <c r="A1" s="12" t="inlineStr">
        <is>
          <t>Worker ID</t>
        </is>
      </c>
      <c r="B1" s="12" t="inlineStr">
        <is>
          <t>Worker Name</t>
        </is>
      </c>
      <c r="C1" s="12" t="inlineStr">
        <is>
          <t>Worker Email</t>
        </is>
      </c>
      <c r="D1" s="12" t="inlineStr">
        <is>
          <t>Role</t>
        </is>
      </c>
      <c r="E1" s="12" t="inlineStr">
        <is>
          <t>Access Status</t>
        </is>
      </c>
      <c r="F1" s="12" t="inlineStr">
        <is>
          <t>Created At</t>
        </is>
      </c>
      <c r="G1" s="12" t="inlineStr">
        <is>
          <t>Inactive At</t>
        </is>
      </c>
      <c r="H1" s="12" t="inlineStr">
        <is>
          <t>Notes</t>
        </is>
      </c>
      <c r="J1" s="9" t="inlineStr">
        <is>
          <t>Access rule</t>
        </is>
      </c>
      <c r="K1" s="10" t="n"/>
      <c r="L1" s="10" t="n"/>
    </row>
    <row r="2">
      <c r="A2" s="14" t="inlineStr">
        <is>
          <t>W-1001</t>
        </is>
      </c>
      <c r="B2" s="14" t="inlineStr">
        <is>
          <t>Maya Ellis</t>
        </is>
      </c>
      <c r="C2" s="14" t="inlineStr">
        <is>
          <t>maya.ellis@example.local</t>
        </is>
      </c>
      <c r="D2" s="14" t="inlineStr">
        <is>
          <t>Crew Lead</t>
        </is>
      </c>
      <c r="E2" s="14" t="inlineStr">
        <is>
          <t>Active</t>
        </is>
      </c>
      <c r="F2" s="15" t="n">
        <v>46174</v>
      </c>
      <c r="G2" s="15" t="n"/>
      <c r="H2" s="14" t="inlineStr">
        <is>
          <t>Active worker for current entries.</t>
        </is>
      </c>
      <c r="J2" s="11" t="inlineStr">
        <is>
          <t>Active workers can receive future time entries. Inactive workers are proof-only for historical records.</t>
        </is>
      </c>
      <c r="K2" s="10" t="n"/>
      <c r="L2" s="10" t="n"/>
    </row>
    <row r="3">
      <c r="A3" s="13" t="inlineStr">
        <is>
          <t>W-1002</t>
        </is>
      </c>
      <c r="B3" s="13" t="inlineStr">
        <is>
          <t>Leo Grant</t>
        </is>
      </c>
      <c r="C3" s="13" t="inlineStr">
        <is>
          <t>leo.grant@example.local</t>
        </is>
      </c>
      <c r="D3" s="13" t="inlineStr">
        <is>
          <t>Installer</t>
        </is>
      </c>
      <c r="E3" s="13" t="inlineStr">
        <is>
          <t>Active</t>
        </is>
      </c>
      <c r="F3" s="16" t="n">
        <v>46174</v>
      </c>
      <c r="G3" s="16" t="n"/>
      <c r="H3" s="13" t="inlineStr">
        <is>
          <t>Active worker with pending approval.</t>
        </is>
      </c>
      <c r="J3" s="10" t="n"/>
      <c r="K3" s="10" t="n"/>
      <c r="L3" s="10" t="n"/>
    </row>
    <row r="4">
      <c r="A4" s="14" t="inlineStr">
        <is>
          <t>W-1003</t>
        </is>
      </c>
      <c r="B4" s="14" t="inlineStr">
        <is>
          <t>Priya Shah</t>
        </is>
      </c>
      <c r="C4" s="14" t="inlineStr">
        <is>
          <t>priya.shah@example.local</t>
        </is>
      </c>
      <c r="D4" s="14" t="inlineStr">
        <is>
          <t>Helper</t>
        </is>
      </c>
      <c r="E4" s="14" t="inlineStr">
        <is>
          <t>Inactive</t>
        </is>
      </c>
      <c r="F4" s="15" t="n">
        <v>46157</v>
      </c>
      <c r="G4" s="15" t="n">
        <v>46182</v>
      </c>
      <c r="H4" s="14" t="inlineStr">
        <is>
          <t>Inactive worker with historical proof records.</t>
        </is>
      </c>
    </row>
  </sheetData>
  <autoFilter ref="A1:H4"/>
  <mergeCells count="2">
    <mergeCell ref="J1:L1"/>
    <mergeCell ref="J2:L3"/>
  </mergeCells>
  <conditionalFormatting sqref="A2:H200">
    <cfRule type="expression" priority="1" dxfId="0">
      <formula>$E2="Active"</formula>
    </cfRule>
    <cfRule type="expression" priority="2" dxfId="0">
      <formula>$E2="Approved"</formula>
    </cfRule>
    <cfRule type="expression" priority="3" dxfId="0">
      <formula>$E2="Paid"</formula>
    </cfRule>
    <cfRule type="expression" priority="4" dxfId="1">
      <formula>$E2="Submitted"</formula>
    </cfRule>
    <cfRule type="expression" priority="5" dxfId="2">
      <formula>$E2="Draft"</formula>
    </cfRule>
    <cfRule type="expression" priority="6" dxfId="2">
      <formula>$E2="Finalized"</formula>
    </cfRule>
    <cfRule type="expression" priority="7" dxfId="2">
      <formula>$E2="Posted"</formula>
    </cfRule>
    <cfRule type="expression" priority="8" dxfId="1">
      <formula>$E2="Email Ready"</formula>
    </cfRule>
    <cfRule type="expression" priority="9" dxfId="1">
      <formula>$E2="Scheduled"</formula>
    </cfRule>
    <cfRule type="expression" priority="10" dxfId="2">
      <formula>$E2="Planned"</formula>
    </cfRule>
    <cfRule type="expression" priority="11" dxfId="3">
      <formula>$E2="Rejected"</formula>
    </cfRule>
    <cfRule type="expression" priority="12" dxfId="4">
      <formula>$E2="Inactive"</formula>
    </cfRule>
    <cfRule type="expression" priority="13" dxfId="4">
      <formula>$E2="Archived"</formula>
    </cfRule>
    <cfRule type="expression" priority="14" dxfId="4">
      <formula>$E2="Closed"</formula>
    </cfRule>
    <cfRule type="expression" priority="15" dxfId="4">
      <formula>$E2="Canceled"</formula>
    </cfRule>
    <cfRule type="expression" priority="16" dxfId="4">
      <formula>$E2="Cancelled"</formula>
    </cfRule>
  </conditionalFormatting>
  <dataValidations count="1">
    <dataValidation sqref="E2:E200" showDropDown="0" showInputMessage="0" showErrorMessage="0" allowBlank="1" errorTitle="Invalid value" error="Choose a value from Dropdown Lists." type="list">
      <formula1>'Dropdown Lists'!$A$2:$A$3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4" customWidth="1" min="4" max="4"/>
    <col width="14" customWidth="1" min="5" max="5"/>
    <col width="24" customWidth="1" min="6" max="6"/>
    <col width="40" customWidth="1" min="7" max="7"/>
  </cols>
  <sheetData>
    <row r="1">
      <c r="A1" s="12" t="inlineStr">
        <is>
          <t>Job ID</t>
        </is>
      </c>
      <c r="B1" s="12" t="inlineStr">
        <is>
          <t>Job Name</t>
        </is>
      </c>
      <c r="C1" s="12" t="inlineStr">
        <is>
          <t>Client or Site</t>
        </is>
      </c>
      <c r="D1" s="12" t="inlineStr">
        <is>
          <t>Status</t>
        </is>
      </c>
      <c r="E1" s="12" t="inlineStr">
        <is>
          <t>Default Rate</t>
        </is>
      </c>
      <c r="F1" s="12" t="inlineStr">
        <is>
          <t>Calendar Event ID</t>
        </is>
      </c>
      <c r="G1" s="12" t="inlineStr">
        <is>
          <t>Notes</t>
        </is>
      </c>
      <c r="I1" s="9" t="inlineStr">
        <is>
          <t>Job rule</t>
        </is>
      </c>
      <c r="J1" s="10" t="n"/>
      <c r="K1" s="10" t="n"/>
    </row>
    <row r="2">
      <c r="A2" s="14" t="inlineStr">
        <is>
          <t>J-2001</t>
        </is>
      </c>
      <c r="B2" s="14" t="inlineStr">
        <is>
          <t>Oak Ridge Units</t>
        </is>
      </c>
      <c r="C2" s="14" t="inlineStr">
        <is>
          <t>Oak Ridge Apartments</t>
        </is>
      </c>
      <c r="D2" s="14" t="inlineStr">
        <is>
          <t>Active</t>
        </is>
      </c>
      <c r="E2" s="17" t="n">
        <v>32</v>
      </c>
      <c r="F2" s="14" t="inlineStr"/>
      <c r="G2" s="14" t="inlineStr">
        <is>
          <t>Apartment unit prep and repairs.</t>
        </is>
      </c>
      <c r="I2" s="11" t="inlineStr">
        <is>
          <t>Closed jobs stay visible for proof history. Schedule and calendar references are not proof.</t>
        </is>
      </c>
      <c r="J2" s="10" t="n"/>
      <c r="K2" s="10" t="n"/>
    </row>
    <row r="3">
      <c r="A3" s="13" t="inlineStr">
        <is>
          <t>J-2002</t>
        </is>
      </c>
      <c r="B3" s="13" t="inlineStr">
        <is>
          <t>Bluebird Cafe Refresh</t>
        </is>
      </c>
      <c r="C3" s="13" t="inlineStr">
        <is>
          <t>Bluebird Cafe</t>
        </is>
      </c>
      <c r="D3" s="13" t="inlineStr">
        <is>
          <t>Active</t>
        </is>
      </c>
      <c r="E3" s="18" t="n">
        <v>30</v>
      </c>
      <c r="F3" s="13" t="inlineStr"/>
      <c r="G3" s="13" t="inlineStr">
        <is>
          <t>Cafe refresh punch list.</t>
        </is>
      </c>
      <c r="I3" s="10" t="n"/>
      <c r="J3" s="10" t="n"/>
      <c r="K3" s="10" t="n"/>
    </row>
    <row r="4">
      <c r="A4" s="14" t="inlineStr">
        <is>
          <t>J-2003</t>
        </is>
      </c>
      <c r="B4" s="14" t="inlineStr">
        <is>
          <t>Cedar Lane Repairs</t>
        </is>
      </c>
      <c r="C4" s="14" t="inlineStr">
        <is>
          <t>Cedar Lane Rentals</t>
        </is>
      </c>
      <c r="D4" s="14" t="inlineStr">
        <is>
          <t>Closed</t>
        </is>
      </c>
      <c r="E4" s="17" t="n">
        <v>24</v>
      </c>
      <c r="F4" s="14" t="inlineStr">
        <is>
          <t>cal-demo-cedar-001</t>
        </is>
      </c>
      <c r="G4" s="14" t="inlineStr">
        <is>
          <t>Closed job retained for proof history.</t>
        </is>
      </c>
    </row>
  </sheetData>
  <autoFilter ref="A1:G4"/>
  <mergeCells count="2">
    <mergeCell ref="I2:K3"/>
    <mergeCell ref="I1:K1"/>
  </mergeCells>
  <conditionalFormatting sqref="A2:G200">
    <cfRule type="expression" priority="1" dxfId="0">
      <formula>$D2="Active"</formula>
    </cfRule>
    <cfRule type="expression" priority="2" dxfId="0">
      <formula>$D2="Approved"</formula>
    </cfRule>
    <cfRule type="expression" priority="3" dxfId="0">
      <formula>$D2="Paid"</formula>
    </cfRule>
    <cfRule type="expression" priority="4" dxfId="1">
      <formula>$D2="Submitted"</formula>
    </cfRule>
    <cfRule type="expression" priority="5" dxfId="2">
      <formula>$D2="Draft"</formula>
    </cfRule>
    <cfRule type="expression" priority="6" dxfId="2">
      <formula>$D2="Finalized"</formula>
    </cfRule>
    <cfRule type="expression" priority="7" dxfId="2">
      <formula>$D2="Posted"</formula>
    </cfRule>
    <cfRule type="expression" priority="8" dxfId="1">
      <formula>$D2="Email Ready"</formula>
    </cfRule>
    <cfRule type="expression" priority="9" dxfId="1">
      <formula>$D2="Scheduled"</formula>
    </cfRule>
    <cfRule type="expression" priority="10" dxfId="2">
      <formula>$D2="Planned"</formula>
    </cfRule>
    <cfRule type="expression" priority="11" dxfId="3">
      <formula>$D2="Rejected"</formula>
    </cfRule>
    <cfRule type="expression" priority="12" dxfId="4">
      <formula>$D2="Inactive"</formula>
    </cfRule>
    <cfRule type="expression" priority="13" dxfId="4">
      <formula>$D2="Archived"</formula>
    </cfRule>
    <cfRule type="expression" priority="14" dxfId="4">
      <formula>$D2="Closed"</formula>
    </cfRule>
    <cfRule type="expression" priority="15" dxfId="4">
      <formula>$D2="Canceled"</formula>
    </cfRule>
    <cfRule type="expression" priority="16" dxfId="4">
      <formula>$D2="Cancelled"</formula>
    </cfRule>
  </conditionalFormatting>
  <dataValidations count="1">
    <dataValidation sqref="D2:D200" showDropDown="0" showInputMessage="0" showErrorMessage="0" allowBlank="1" errorTitle="Invalid value" error="Choose a value from Dropdown Lists." type="list">
      <formula1>'Dropdown Lists'!$B$2:$B$4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24" customWidth="1" min="5" max="5"/>
    <col width="13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5" customWidth="1" min="13" max="13"/>
    <col width="12" customWidth="1" min="14" max="14"/>
    <col width="14" customWidth="1" min="15" max="15"/>
    <col width="16" customWidth="1" min="16" max="16"/>
    <col width="18" customWidth="1" min="17" max="17"/>
    <col width="18" customWidth="1" min="18" max="18"/>
    <col width="34" customWidth="1" min="19" max="19"/>
    <col width="34" customWidth="1" min="20" max="20"/>
  </cols>
  <sheetData>
    <row r="1">
      <c r="A1" s="12" t="inlineStr">
        <is>
          <t>Entry ID</t>
        </is>
      </c>
      <c r="B1" s="12" t="inlineStr">
        <is>
          <t>Worker ID</t>
        </is>
      </c>
      <c r="C1" s="12" t="inlineStr">
        <is>
          <t>Worker Name</t>
        </is>
      </c>
      <c r="D1" s="12" t="inlineStr">
        <is>
          <t>Job ID</t>
        </is>
      </c>
      <c r="E1" s="12" t="inlineStr">
        <is>
          <t>Job Name</t>
        </is>
      </c>
      <c r="F1" s="12" t="inlineStr">
        <is>
          <t>Work Date</t>
        </is>
      </c>
      <c r="G1" s="12" t="inlineStr">
        <is>
          <t>Start Time</t>
        </is>
      </c>
      <c r="H1" s="12" t="inlineStr">
        <is>
          <t>End Time</t>
        </is>
      </c>
      <c r="I1" s="12" t="inlineStr">
        <is>
          <t>Break Minutes</t>
        </is>
      </c>
      <c r="J1" s="12" t="inlineStr">
        <is>
          <t>Hours</t>
        </is>
      </c>
      <c r="K1" s="12" t="inlineStr">
        <is>
          <t>Rate</t>
        </is>
      </c>
      <c r="L1" s="12" t="inlineStr">
        <is>
          <t>Gross Pay</t>
        </is>
      </c>
      <c r="M1" s="12" t="inlineStr">
        <is>
          <t>Reimbursement</t>
        </is>
      </c>
      <c r="N1" s="12" t="inlineStr">
        <is>
          <t>Deduction</t>
        </is>
      </c>
      <c r="O1" s="12" t="inlineStr">
        <is>
          <t>Net Pay</t>
        </is>
      </c>
      <c r="P1" s="12" t="inlineStr">
        <is>
          <t>Approval Status</t>
        </is>
      </c>
      <c r="Q1" s="12" t="inlineStr">
        <is>
          <t>Submitted At</t>
        </is>
      </c>
      <c r="R1" s="12" t="inlineStr">
        <is>
          <t>Approved At</t>
        </is>
      </c>
      <c r="S1" s="12" t="inlineStr">
        <is>
          <t>Correction Note</t>
        </is>
      </c>
      <c r="T1" s="12" t="inlineStr">
        <is>
          <t>Notes</t>
        </is>
      </c>
      <c r="V1" s="9" t="inlineStr">
        <is>
          <t>Workflow status guide</t>
        </is>
      </c>
      <c r="W1" s="10" t="n"/>
      <c r="X1" s="10" t="n"/>
      <c r="Y1" s="10" t="n"/>
    </row>
    <row r="2">
      <c r="A2" s="14" t="inlineStr">
        <is>
          <t>T-3001</t>
        </is>
      </c>
      <c r="B2" s="14" t="inlineStr">
        <is>
          <t>W-1001</t>
        </is>
      </c>
      <c r="C2" s="14">
        <f>IFERROR(VLOOKUP(B2,Workers!$A:$H,2,FALSE),"")</f>
        <v/>
      </c>
      <c r="D2" s="14" t="inlineStr">
        <is>
          <t>J-2001</t>
        </is>
      </c>
      <c r="E2" s="14">
        <f>IFERROR(VLOOKUP(D2,Jobs!$A:$G,2,FALSE),"")</f>
        <v/>
      </c>
      <c r="F2" s="15" t="n">
        <v>46175</v>
      </c>
      <c r="G2" s="19" t="n">
        <v>0.3333333333333333</v>
      </c>
      <c r="H2" s="19" t="n">
        <v>0.6875</v>
      </c>
      <c r="I2" s="14" t="n">
        <v>30</v>
      </c>
      <c r="J2" s="20">
        <f>IF(OR(G2="",H2=""),"",MAX(0,(H2-G2)*24-(I2/60)))</f>
        <v/>
      </c>
      <c r="K2" s="17">
        <f>IFERROR(VLOOKUP(D2,Jobs!$A:$G,5,FALSE),"")</f>
        <v/>
      </c>
      <c r="L2" s="17">
        <f>IF(OR(J2="",K2=""),"",J2*K2)</f>
        <v/>
      </c>
      <c r="M2" s="17" t="n">
        <v>35</v>
      </c>
      <c r="N2" s="17" t="n">
        <v>0</v>
      </c>
      <c r="O2" s="17">
        <f>IF(L2="","",L2+M2-N2)</f>
        <v/>
      </c>
      <c r="P2" s="14" t="inlineStr">
        <is>
          <t>Approved</t>
        </is>
      </c>
      <c r="Q2" s="21" t="n">
        <v>46175.69791666666</v>
      </c>
      <c r="R2" s="21" t="n">
        <v>46176.38194444445</v>
      </c>
      <c r="S2" s="14" t="inlineStr"/>
      <c r="T2" s="14" t="inlineStr">
        <is>
          <t>Unit prep and fixture checks.</t>
        </is>
      </c>
      <c r="V2" s="11" t="inlineStr">
        <is>
          <t>Draft = not submitted
Submitted = needs admin review
Approved/Paid = proof-ready
Rejected/corrections stay visible</t>
        </is>
      </c>
      <c r="W2" s="10" t="n"/>
      <c r="X2" s="10" t="n"/>
      <c r="Y2" s="10" t="n"/>
    </row>
    <row r="3">
      <c r="A3" s="13" t="inlineStr">
        <is>
          <t>T-3002</t>
        </is>
      </c>
      <c r="B3" s="13" t="inlineStr">
        <is>
          <t>W-1002</t>
        </is>
      </c>
      <c r="C3" s="13">
        <f>IFERROR(VLOOKUP(B3,Workers!$A:$H,2,FALSE),"")</f>
        <v/>
      </c>
      <c r="D3" s="13" t="inlineStr">
        <is>
          <t>J-2001</t>
        </is>
      </c>
      <c r="E3" s="13">
        <f>IFERROR(VLOOKUP(D3,Jobs!$A:$G,2,FALSE),"")</f>
        <v/>
      </c>
      <c r="F3" s="16" t="n">
        <v>46175</v>
      </c>
      <c r="G3" s="22" t="n">
        <v>0.3333333333333333</v>
      </c>
      <c r="H3" s="22" t="n">
        <v>0.625</v>
      </c>
      <c r="I3" s="13" t="n">
        <v>30</v>
      </c>
      <c r="J3" s="23">
        <f>IF(OR(G3="",H3=""),"",MAX(0,(H3-G3)*24-(I3/60)))</f>
        <v/>
      </c>
      <c r="K3" s="18">
        <f>IFERROR(VLOOKUP(D3,Jobs!$A:$G,5,FALSE),"")</f>
        <v/>
      </c>
      <c r="L3" s="18">
        <f>IF(OR(J3="",K3=""),"",J3*K3)</f>
        <v/>
      </c>
      <c r="M3" s="18" t="n">
        <v>0</v>
      </c>
      <c r="N3" s="18" t="n">
        <v>0</v>
      </c>
      <c r="O3" s="18">
        <f>IF(L3="","",L3+M3-N3)</f>
        <v/>
      </c>
      <c r="P3" s="13" t="inlineStr">
        <is>
          <t>Submitted</t>
        </is>
      </c>
      <c r="Q3" s="24" t="n">
        <v>46175.63888888889</v>
      </c>
      <c r="R3" s="24" t="n"/>
      <c r="S3" s="13" t="inlineStr"/>
      <c r="T3" s="13" t="inlineStr">
        <is>
          <t>Drywall patch support pending approval.</t>
        </is>
      </c>
      <c r="V3" s="10" t="n"/>
      <c r="W3" s="10" t="n"/>
      <c r="X3" s="10" t="n"/>
      <c r="Y3" s="10" t="n"/>
    </row>
    <row r="4">
      <c r="A4" s="14" t="inlineStr">
        <is>
          <t>T-3003</t>
        </is>
      </c>
      <c r="B4" s="14" t="inlineStr">
        <is>
          <t>W-1003</t>
        </is>
      </c>
      <c r="C4" s="14">
        <f>IFERROR(VLOOKUP(B4,Workers!$A:$H,2,FALSE),"")</f>
        <v/>
      </c>
      <c r="D4" s="14" t="inlineStr">
        <is>
          <t>J-2003</t>
        </is>
      </c>
      <c r="E4" s="14">
        <f>IFERROR(VLOOKUP(D4,Jobs!$A:$G,2,FALSE),"")</f>
        <v/>
      </c>
      <c r="F4" s="15" t="n">
        <v>46176</v>
      </c>
      <c r="G4" s="19" t="n">
        <v>0.375</v>
      </c>
      <c r="H4" s="19" t="n">
        <v>0.5833333333333334</v>
      </c>
      <c r="I4" s="14" t="n">
        <v>0</v>
      </c>
      <c r="J4" s="20">
        <f>IF(OR(G4="",H4=""),"",MAX(0,(H4-G4)*24-(I4/60)))</f>
        <v/>
      </c>
      <c r="K4" s="17">
        <f>IFERROR(VLOOKUP(D4,Jobs!$A:$G,5,FALSE),"")</f>
        <v/>
      </c>
      <c r="L4" s="17">
        <f>IF(OR(J4="",K4=""),"",J4*K4)</f>
        <v/>
      </c>
      <c r="M4" s="17" t="n">
        <v>0</v>
      </c>
      <c r="N4" s="17" t="n">
        <v>0</v>
      </c>
      <c r="O4" s="17">
        <f>IF(L4="","",L4+M4-N4)</f>
        <v/>
      </c>
      <c r="P4" s="14" t="inlineStr">
        <is>
          <t>Approved</t>
        </is>
      </c>
      <c r="Q4" s="21" t="n">
        <v>46176.59027777778</v>
      </c>
      <c r="R4" s="21" t="n">
        <v>46177.35416666666</v>
      </c>
      <c r="S4" s="14" t="inlineStr"/>
      <c r="T4" s="14" t="inlineStr">
        <is>
          <t>Historical approved work before inactive status.</t>
        </is>
      </c>
      <c r="V4" s="10" t="n"/>
      <c r="W4" s="10" t="n"/>
      <c r="X4" s="10" t="n"/>
      <c r="Y4" s="10" t="n"/>
    </row>
    <row r="5">
      <c r="A5" s="13" t="inlineStr">
        <is>
          <t>T-3004</t>
        </is>
      </c>
      <c r="B5" s="13" t="inlineStr">
        <is>
          <t>W-1001</t>
        </is>
      </c>
      <c r="C5" s="13">
        <f>IFERROR(VLOOKUP(B5,Workers!$A:$H,2,FALSE),"")</f>
        <v/>
      </c>
      <c r="D5" s="13" t="inlineStr">
        <is>
          <t>J-2002</t>
        </is>
      </c>
      <c r="E5" s="13">
        <f>IFERROR(VLOOKUP(D5,Jobs!$A:$G,2,FALSE),"")</f>
        <v/>
      </c>
      <c r="F5" s="16" t="n">
        <v>46179</v>
      </c>
      <c r="G5" s="22" t="n">
        <v>0.3125</v>
      </c>
      <c r="H5" s="22" t="n">
        <v>0.5625</v>
      </c>
      <c r="I5" s="13" t="n">
        <v>0</v>
      </c>
      <c r="J5" s="23">
        <f>IF(OR(G5="",H5=""),"",MAX(0,(H5-G5)*24-(I5/60)))</f>
        <v/>
      </c>
      <c r="K5" s="18">
        <f>IFERROR(VLOOKUP(D5,Jobs!$A:$G,5,FALSE),"")</f>
        <v/>
      </c>
      <c r="L5" s="18">
        <f>IF(OR(J5="",K5=""),"",J5*K5)</f>
        <v/>
      </c>
      <c r="M5" s="18" t="n">
        <v>0</v>
      </c>
      <c r="N5" s="18" t="n">
        <v>0</v>
      </c>
      <c r="O5" s="18">
        <f>IF(L5="","",L5+M5-N5)</f>
        <v/>
      </c>
      <c r="P5" s="13" t="inlineStr">
        <is>
          <t>Paid</t>
        </is>
      </c>
      <c r="Q5" s="24" t="n">
        <v>46179.56944444445</v>
      </c>
      <c r="R5" s="24" t="n">
        <v>46180.41666666666</v>
      </c>
      <c r="S5" s="13" t="inlineStr">
        <is>
          <t>Paid period proof generated after final punch list.</t>
        </is>
      </c>
      <c r="T5" s="13" t="inlineStr">
        <is>
          <t>Final punch list.</t>
        </is>
      </c>
    </row>
    <row r="6">
      <c r="A6" s="14" t="inlineStr">
        <is>
          <t>T-3005</t>
        </is>
      </c>
      <c r="B6" s="14" t="inlineStr">
        <is>
          <t>W-1003</t>
        </is>
      </c>
      <c r="C6" s="14">
        <f>IFERROR(VLOOKUP(B6,Workers!$A:$H,2,FALSE),"")</f>
        <v/>
      </c>
      <c r="D6" s="14" t="inlineStr">
        <is>
          <t>J-2003</t>
        </is>
      </c>
      <c r="E6" s="14">
        <f>IFERROR(VLOOKUP(D6,Jobs!$A:$G,2,FALSE),"")</f>
        <v/>
      </c>
      <c r="F6" s="15" t="n">
        <v>46178</v>
      </c>
      <c r="G6" s="19" t="n">
        <v>0.3541666666666667</v>
      </c>
      <c r="H6" s="19" t="n">
        <v>0.5208333333333334</v>
      </c>
      <c r="I6" s="14" t="n">
        <v>0</v>
      </c>
      <c r="J6" s="20">
        <f>IF(OR(G6="",H6=""),"",MAX(0,(H6-G6)*24-(I6/60)))</f>
        <v/>
      </c>
      <c r="K6" s="17">
        <f>IFERROR(VLOOKUP(D6,Jobs!$A:$G,5,FALSE),"")</f>
        <v/>
      </c>
      <c r="L6" s="17">
        <f>IF(OR(J6="",K6=""),"",J6*K6)</f>
        <v/>
      </c>
      <c r="M6" s="17" t="n">
        <v>15</v>
      </c>
      <c r="N6" s="17" t="n">
        <v>0</v>
      </c>
      <c r="O6" s="17">
        <f>IF(L6="","",L6+M6-N6)</f>
        <v/>
      </c>
      <c r="P6" s="14" t="inlineStr">
        <is>
          <t>Finalized</t>
        </is>
      </c>
      <c r="Q6" s="21" t="n">
        <v>46178.53125</v>
      </c>
      <c r="R6" s="21" t="n">
        <v>46179.38541666666</v>
      </c>
      <c r="S6" s="14" t="inlineStr">
        <is>
          <t>Visible correction: added reimbursement before worker was inactive.</t>
        </is>
      </c>
      <c r="T6" s="14" t="inlineStr">
        <is>
          <t>Historical reimbursement correction retained.</t>
        </is>
      </c>
    </row>
    <row r="7">
      <c r="C7">
        <f>IFERROR(VLOOKUP(B7,Workers!$A:$H,2,FALSE),"")</f>
        <v/>
      </c>
      <c r="E7">
        <f>IFERROR(VLOOKUP(D7,Jobs!$A:$G,2,FALSE),"")</f>
        <v/>
      </c>
      <c r="F7" s="25" t="n"/>
      <c r="G7" s="26" t="n"/>
      <c r="H7" s="26" t="n"/>
      <c r="J7" s="27">
        <f>IF(OR(G7="",H7=""),"",MAX(0,(H7-G7)*24-(I7/60)))</f>
        <v/>
      </c>
      <c r="K7" s="28">
        <f>IFERROR(VLOOKUP(D7,Jobs!$A:$G,5,FALSE),"")</f>
        <v/>
      </c>
      <c r="L7" s="28">
        <f>IF(OR(J7="",K7=""),"",J7*K7)</f>
        <v/>
      </c>
      <c r="M7" s="28" t="n"/>
      <c r="N7" s="28" t="n"/>
      <c r="O7" s="28">
        <f>IF(L7="","",L7+M7-N7)</f>
        <v/>
      </c>
      <c r="Q7" s="29" t="n"/>
      <c r="R7" s="29" t="n"/>
    </row>
    <row r="8">
      <c r="C8">
        <f>IFERROR(VLOOKUP(B8,Workers!$A:$H,2,FALSE),"")</f>
        <v/>
      </c>
      <c r="E8">
        <f>IFERROR(VLOOKUP(D8,Jobs!$A:$G,2,FALSE),"")</f>
        <v/>
      </c>
      <c r="F8" s="25" t="n"/>
      <c r="G8" s="26" t="n"/>
      <c r="H8" s="26" t="n"/>
      <c r="J8" s="27">
        <f>IF(OR(G8="",H8=""),"",MAX(0,(H8-G8)*24-(I8/60)))</f>
        <v/>
      </c>
      <c r="K8" s="28">
        <f>IFERROR(VLOOKUP(D8,Jobs!$A:$G,5,FALSE),"")</f>
        <v/>
      </c>
      <c r="L8" s="28">
        <f>IF(OR(J8="",K8=""),"",J8*K8)</f>
        <v/>
      </c>
      <c r="M8" s="28" t="n"/>
      <c r="N8" s="28" t="n"/>
      <c r="O8" s="28">
        <f>IF(L8="","",L8+M8-N8)</f>
        <v/>
      </c>
      <c r="Q8" s="29" t="n"/>
      <c r="R8" s="29" t="n"/>
    </row>
    <row r="9">
      <c r="C9">
        <f>IFERROR(VLOOKUP(B9,Workers!$A:$H,2,FALSE),"")</f>
        <v/>
      </c>
      <c r="E9">
        <f>IFERROR(VLOOKUP(D9,Jobs!$A:$G,2,FALSE),"")</f>
        <v/>
      </c>
      <c r="F9" s="25" t="n"/>
      <c r="G9" s="26" t="n"/>
      <c r="H9" s="26" t="n"/>
      <c r="J9" s="27">
        <f>IF(OR(G9="",H9=""),"",MAX(0,(H9-G9)*24-(I9/60)))</f>
        <v/>
      </c>
      <c r="K9" s="28">
        <f>IFERROR(VLOOKUP(D9,Jobs!$A:$G,5,FALSE),"")</f>
        <v/>
      </c>
      <c r="L9" s="28">
        <f>IF(OR(J9="",K9=""),"",J9*K9)</f>
        <v/>
      </c>
      <c r="M9" s="28" t="n"/>
      <c r="N9" s="28" t="n"/>
      <c r="O9" s="28">
        <f>IF(L9="","",L9+M9-N9)</f>
        <v/>
      </c>
      <c r="Q9" s="29" t="n"/>
      <c r="R9" s="29" t="n"/>
    </row>
    <row r="10">
      <c r="C10">
        <f>IFERROR(VLOOKUP(B10,Workers!$A:$H,2,FALSE),"")</f>
        <v/>
      </c>
      <c r="E10">
        <f>IFERROR(VLOOKUP(D10,Jobs!$A:$G,2,FALSE),"")</f>
        <v/>
      </c>
      <c r="F10" s="25" t="n"/>
      <c r="G10" s="26" t="n"/>
      <c r="H10" s="26" t="n"/>
      <c r="J10" s="27">
        <f>IF(OR(G10="",H10=""),"",MAX(0,(H10-G10)*24-(I10/60)))</f>
        <v/>
      </c>
      <c r="K10" s="28">
        <f>IFERROR(VLOOKUP(D10,Jobs!$A:$G,5,FALSE),"")</f>
        <v/>
      </c>
      <c r="L10" s="28">
        <f>IF(OR(J10="",K10=""),"",J10*K10)</f>
        <v/>
      </c>
      <c r="M10" s="28" t="n"/>
      <c r="N10" s="28" t="n"/>
      <c r="O10" s="28">
        <f>IF(L10="","",L10+M10-N10)</f>
        <v/>
      </c>
      <c r="Q10" s="29" t="n"/>
      <c r="R10" s="29" t="n"/>
    </row>
    <row r="11">
      <c r="C11">
        <f>IFERROR(VLOOKUP(B11,Workers!$A:$H,2,FALSE),"")</f>
        <v/>
      </c>
      <c r="E11">
        <f>IFERROR(VLOOKUP(D11,Jobs!$A:$G,2,FALSE),"")</f>
        <v/>
      </c>
      <c r="F11" s="25" t="n"/>
      <c r="G11" s="26" t="n"/>
      <c r="H11" s="26" t="n"/>
      <c r="J11" s="27">
        <f>IF(OR(G11="",H11=""),"",MAX(0,(H11-G11)*24-(I11/60)))</f>
        <v/>
      </c>
      <c r="K11" s="28">
        <f>IFERROR(VLOOKUP(D11,Jobs!$A:$G,5,FALSE),"")</f>
        <v/>
      </c>
      <c r="L11" s="28">
        <f>IF(OR(J11="",K11=""),"",J11*K11)</f>
        <v/>
      </c>
      <c r="M11" s="28" t="n"/>
      <c r="N11" s="28" t="n"/>
      <c r="O11" s="28">
        <f>IF(L11="","",L11+M11-N11)</f>
        <v/>
      </c>
      <c r="Q11" s="29" t="n"/>
      <c r="R11" s="29" t="n"/>
    </row>
    <row r="12">
      <c r="C12">
        <f>IFERROR(VLOOKUP(B12,Workers!$A:$H,2,FALSE),"")</f>
        <v/>
      </c>
      <c r="E12">
        <f>IFERROR(VLOOKUP(D12,Jobs!$A:$G,2,FALSE),"")</f>
        <v/>
      </c>
      <c r="F12" s="25" t="n"/>
      <c r="G12" s="26" t="n"/>
      <c r="H12" s="26" t="n"/>
      <c r="J12" s="27">
        <f>IF(OR(G12="",H12=""),"",MAX(0,(H12-G12)*24-(I12/60)))</f>
        <v/>
      </c>
      <c r="K12" s="28">
        <f>IFERROR(VLOOKUP(D12,Jobs!$A:$G,5,FALSE),"")</f>
        <v/>
      </c>
      <c r="L12" s="28">
        <f>IF(OR(J12="",K12=""),"",J12*K12)</f>
        <v/>
      </c>
      <c r="M12" s="28" t="n"/>
      <c r="N12" s="28" t="n"/>
      <c r="O12" s="28">
        <f>IF(L12="","",L12+M12-N12)</f>
        <v/>
      </c>
      <c r="Q12" s="29" t="n"/>
      <c r="R12" s="29" t="n"/>
    </row>
    <row r="13">
      <c r="C13">
        <f>IFERROR(VLOOKUP(B13,Workers!$A:$H,2,FALSE),"")</f>
        <v/>
      </c>
      <c r="E13">
        <f>IFERROR(VLOOKUP(D13,Jobs!$A:$G,2,FALSE),"")</f>
        <v/>
      </c>
      <c r="F13" s="25" t="n"/>
      <c r="G13" s="26" t="n"/>
      <c r="H13" s="26" t="n"/>
      <c r="J13" s="27">
        <f>IF(OR(G13="",H13=""),"",MAX(0,(H13-G13)*24-(I13/60)))</f>
        <v/>
      </c>
      <c r="K13" s="28">
        <f>IFERROR(VLOOKUP(D13,Jobs!$A:$G,5,FALSE),"")</f>
        <v/>
      </c>
      <c r="L13" s="28">
        <f>IF(OR(J13="",K13=""),"",J13*K13)</f>
        <v/>
      </c>
      <c r="M13" s="28" t="n"/>
      <c r="N13" s="28" t="n"/>
      <c r="O13" s="28">
        <f>IF(L13="","",L13+M13-N13)</f>
        <v/>
      </c>
      <c r="Q13" s="29" t="n"/>
      <c r="R13" s="29" t="n"/>
    </row>
    <row r="14">
      <c r="C14">
        <f>IFERROR(VLOOKUP(B14,Workers!$A:$H,2,FALSE),"")</f>
        <v/>
      </c>
      <c r="E14">
        <f>IFERROR(VLOOKUP(D14,Jobs!$A:$G,2,FALSE),"")</f>
        <v/>
      </c>
      <c r="F14" s="25" t="n"/>
      <c r="G14" s="26" t="n"/>
      <c r="H14" s="26" t="n"/>
      <c r="J14" s="27">
        <f>IF(OR(G14="",H14=""),"",MAX(0,(H14-G14)*24-(I14/60)))</f>
        <v/>
      </c>
      <c r="K14" s="28">
        <f>IFERROR(VLOOKUP(D14,Jobs!$A:$G,5,FALSE),"")</f>
        <v/>
      </c>
      <c r="L14" s="28">
        <f>IF(OR(J14="",K14=""),"",J14*K14)</f>
        <v/>
      </c>
      <c r="M14" s="28" t="n"/>
      <c r="N14" s="28" t="n"/>
      <c r="O14" s="28">
        <f>IF(L14="","",L14+M14-N14)</f>
        <v/>
      </c>
      <c r="Q14" s="29" t="n"/>
      <c r="R14" s="29" t="n"/>
    </row>
    <row r="15">
      <c r="C15">
        <f>IFERROR(VLOOKUP(B15,Workers!$A:$H,2,FALSE),"")</f>
        <v/>
      </c>
      <c r="E15">
        <f>IFERROR(VLOOKUP(D15,Jobs!$A:$G,2,FALSE),"")</f>
        <v/>
      </c>
      <c r="F15" s="25" t="n"/>
      <c r="G15" s="26" t="n"/>
      <c r="H15" s="26" t="n"/>
      <c r="J15" s="27">
        <f>IF(OR(G15="",H15=""),"",MAX(0,(H15-G15)*24-(I15/60)))</f>
        <v/>
      </c>
      <c r="K15" s="28">
        <f>IFERROR(VLOOKUP(D15,Jobs!$A:$G,5,FALSE),"")</f>
        <v/>
      </c>
      <c r="L15" s="28">
        <f>IF(OR(J15="",K15=""),"",J15*K15)</f>
        <v/>
      </c>
      <c r="M15" s="28" t="n"/>
      <c r="N15" s="28" t="n"/>
      <c r="O15" s="28">
        <f>IF(L15="","",L15+M15-N15)</f>
        <v/>
      </c>
      <c r="Q15" s="29" t="n"/>
      <c r="R15" s="29" t="n"/>
    </row>
    <row r="16">
      <c r="C16">
        <f>IFERROR(VLOOKUP(B16,Workers!$A:$H,2,FALSE),"")</f>
        <v/>
      </c>
      <c r="E16">
        <f>IFERROR(VLOOKUP(D16,Jobs!$A:$G,2,FALSE),"")</f>
        <v/>
      </c>
      <c r="F16" s="25" t="n"/>
      <c r="G16" s="26" t="n"/>
      <c r="H16" s="26" t="n"/>
      <c r="J16" s="27">
        <f>IF(OR(G16="",H16=""),"",MAX(0,(H16-G16)*24-(I16/60)))</f>
        <v/>
      </c>
      <c r="K16" s="28">
        <f>IFERROR(VLOOKUP(D16,Jobs!$A:$G,5,FALSE),"")</f>
        <v/>
      </c>
      <c r="L16" s="28">
        <f>IF(OR(J16="",K16=""),"",J16*K16)</f>
        <v/>
      </c>
      <c r="M16" s="28" t="n"/>
      <c r="N16" s="28" t="n"/>
      <c r="O16" s="28">
        <f>IF(L16="","",L16+M16-N16)</f>
        <v/>
      </c>
      <c r="Q16" s="29" t="n"/>
      <c r="R16" s="29" t="n"/>
    </row>
    <row r="17">
      <c r="C17">
        <f>IFERROR(VLOOKUP(B17,Workers!$A:$H,2,FALSE),"")</f>
        <v/>
      </c>
      <c r="E17">
        <f>IFERROR(VLOOKUP(D17,Jobs!$A:$G,2,FALSE),"")</f>
        <v/>
      </c>
      <c r="F17" s="25" t="n"/>
      <c r="G17" s="26" t="n"/>
      <c r="H17" s="26" t="n"/>
      <c r="J17" s="27">
        <f>IF(OR(G17="",H17=""),"",MAX(0,(H17-G17)*24-(I17/60)))</f>
        <v/>
      </c>
      <c r="K17" s="28">
        <f>IFERROR(VLOOKUP(D17,Jobs!$A:$G,5,FALSE),"")</f>
        <v/>
      </c>
      <c r="L17" s="28">
        <f>IF(OR(J17="",K17=""),"",J17*K17)</f>
        <v/>
      </c>
      <c r="M17" s="28" t="n"/>
      <c r="N17" s="28" t="n"/>
      <c r="O17" s="28">
        <f>IF(L17="","",L17+M17-N17)</f>
        <v/>
      </c>
      <c r="Q17" s="29" t="n"/>
      <c r="R17" s="29" t="n"/>
    </row>
    <row r="18">
      <c r="C18">
        <f>IFERROR(VLOOKUP(B18,Workers!$A:$H,2,FALSE),"")</f>
        <v/>
      </c>
      <c r="E18">
        <f>IFERROR(VLOOKUP(D18,Jobs!$A:$G,2,FALSE),"")</f>
        <v/>
      </c>
      <c r="F18" s="25" t="n"/>
      <c r="G18" s="26" t="n"/>
      <c r="H18" s="26" t="n"/>
      <c r="J18" s="27">
        <f>IF(OR(G18="",H18=""),"",MAX(0,(H18-G18)*24-(I18/60)))</f>
        <v/>
      </c>
      <c r="K18" s="28">
        <f>IFERROR(VLOOKUP(D18,Jobs!$A:$G,5,FALSE),"")</f>
        <v/>
      </c>
      <c r="L18" s="28">
        <f>IF(OR(J18="",K18=""),"",J18*K18)</f>
        <v/>
      </c>
      <c r="M18" s="28" t="n"/>
      <c r="N18" s="28" t="n"/>
      <c r="O18" s="28">
        <f>IF(L18="","",L18+M18-N18)</f>
        <v/>
      </c>
      <c r="Q18" s="29" t="n"/>
      <c r="R18" s="29" t="n"/>
    </row>
    <row r="19">
      <c r="C19">
        <f>IFERROR(VLOOKUP(B19,Workers!$A:$H,2,FALSE),"")</f>
        <v/>
      </c>
      <c r="E19">
        <f>IFERROR(VLOOKUP(D19,Jobs!$A:$G,2,FALSE),"")</f>
        <v/>
      </c>
      <c r="F19" s="25" t="n"/>
      <c r="G19" s="26" t="n"/>
      <c r="H19" s="26" t="n"/>
      <c r="J19" s="27">
        <f>IF(OR(G19="",H19=""),"",MAX(0,(H19-G19)*24-(I19/60)))</f>
        <v/>
      </c>
      <c r="K19" s="28">
        <f>IFERROR(VLOOKUP(D19,Jobs!$A:$G,5,FALSE),"")</f>
        <v/>
      </c>
      <c r="L19" s="28">
        <f>IF(OR(J19="",K19=""),"",J19*K19)</f>
        <v/>
      </c>
      <c r="M19" s="28" t="n"/>
      <c r="N19" s="28" t="n"/>
      <c r="O19" s="28">
        <f>IF(L19="","",L19+M19-N19)</f>
        <v/>
      </c>
      <c r="Q19" s="29" t="n"/>
      <c r="R19" s="29" t="n"/>
    </row>
    <row r="20">
      <c r="C20">
        <f>IFERROR(VLOOKUP(B20,Workers!$A:$H,2,FALSE),"")</f>
        <v/>
      </c>
      <c r="E20">
        <f>IFERROR(VLOOKUP(D20,Jobs!$A:$G,2,FALSE),"")</f>
        <v/>
      </c>
      <c r="F20" s="25" t="n"/>
      <c r="G20" s="26" t="n"/>
      <c r="H20" s="26" t="n"/>
      <c r="J20" s="27">
        <f>IF(OR(G20="",H20=""),"",MAX(0,(H20-G20)*24-(I20/60)))</f>
        <v/>
      </c>
      <c r="K20" s="28">
        <f>IFERROR(VLOOKUP(D20,Jobs!$A:$G,5,FALSE),"")</f>
        <v/>
      </c>
      <c r="L20" s="28">
        <f>IF(OR(J20="",K20=""),"",J20*K20)</f>
        <v/>
      </c>
      <c r="M20" s="28" t="n"/>
      <c r="N20" s="28" t="n"/>
      <c r="O20" s="28">
        <f>IF(L20="","",L20+M20-N20)</f>
        <v/>
      </c>
      <c r="Q20" s="29" t="n"/>
      <c r="R20" s="29" t="n"/>
    </row>
    <row r="21">
      <c r="C21">
        <f>IFERROR(VLOOKUP(B21,Workers!$A:$H,2,FALSE),"")</f>
        <v/>
      </c>
      <c r="E21">
        <f>IFERROR(VLOOKUP(D21,Jobs!$A:$G,2,FALSE),"")</f>
        <v/>
      </c>
      <c r="F21" s="25" t="n"/>
      <c r="G21" s="26" t="n"/>
      <c r="H21" s="26" t="n"/>
      <c r="J21" s="27">
        <f>IF(OR(G21="",H21=""),"",MAX(0,(H21-G21)*24-(I21/60)))</f>
        <v/>
      </c>
      <c r="K21" s="28">
        <f>IFERROR(VLOOKUP(D21,Jobs!$A:$G,5,FALSE),"")</f>
        <v/>
      </c>
      <c r="L21" s="28">
        <f>IF(OR(J21="",K21=""),"",J21*K21)</f>
        <v/>
      </c>
      <c r="M21" s="28" t="n"/>
      <c r="N21" s="28" t="n"/>
      <c r="O21" s="28">
        <f>IF(L21="","",L21+M21-N21)</f>
        <v/>
      </c>
      <c r="Q21" s="29" t="n"/>
      <c r="R21" s="29" t="n"/>
    </row>
    <row r="22">
      <c r="C22">
        <f>IFERROR(VLOOKUP(B22,Workers!$A:$H,2,FALSE),"")</f>
        <v/>
      </c>
      <c r="E22">
        <f>IFERROR(VLOOKUP(D22,Jobs!$A:$G,2,FALSE),"")</f>
        <v/>
      </c>
      <c r="F22" s="25" t="n"/>
      <c r="G22" s="26" t="n"/>
      <c r="H22" s="26" t="n"/>
      <c r="J22" s="27">
        <f>IF(OR(G22="",H22=""),"",MAX(0,(H22-G22)*24-(I22/60)))</f>
        <v/>
      </c>
      <c r="K22" s="28">
        <f>IFERROR(VLOOKUP(D22,Jobs!$A:$G,5,FALSE),"")</f>
        <v/>
      </c>
      <c r="L22" s="28">
        <f>IF(OR(J22="",K22=""),"",J22*K22)</f>
        <v/>
      </c>
      <c r="M22" s="28" t="n"/>
      <c r="N22" s="28" t="n"/>
      <c r="O22" s="28">
        <f>IF(L22="","",L22+M22-N22)</f>
        <v/>
      </c>
      <c r="Q22" s="29" t="n"/>
      <c r="R22" s="29" t="n"/>
    </row>
    <row r="23">
      <c r="C23">
        <f>IFERROR(VLOOKUP(B23,Workers!$A:$H,2,FALSE),"")</f>
        <v/>
      </c>
      <c r="E23">
        <f>IFERROR(VLOOKUP(D23,Jobs!$A:$G,2,FALSE),"")</f>
        <v/>
      </c>
      <c r="F23" s="25" t="n"/>
      <c r="G23" s="26" t="n"/>
      <c r="H23" s="26" t="n"/>
      <c r="J23" s="27">
        <f>IF(OR(G23="",H23=""),"",MAX(0,(H23-G23)*24-(I23/60)))</f>
        <v/>
      </c>
      <c r="K23" s="28">
        <f>IFERROR(VLOOKUP(D23,Jobs!$A:$G,5,FALSE),"")</f>
        <v/>
      </c>
      <c r="L23" s="28">
        <f>IF(OR(J23="",K23=""),"",J23*K23)</f>
        <v/>
      </c>
      <c r="M23" s="28" t="n"/>
      <c r="N23" s="28" t="n"/>
      <c r="O23" s="28">
        <f>IF(L23="","",L23+M23-N23)</f>
        <v/>
      </c>
      <c r="Q23" s="29" t="n"/>
      <c r="R23" s="29" t="n"/>
    </row>
    <row r="24">
      <c r="C24">
        <f>IFERROR(VLOOKUP(B24,Workers!$A:$H,2,FALSE),"")</f>
        <v/>
      </c>
      <c r="E24">
        <f>IFERROR(VLOOKUP(D24,Jobs!$A:$G,2,FALSE),"")</f>
        <v/>
      </c>
      <c r="F24" s="25" t="n"/>
      <c r="G24" s="26" t="n"/>
      <c r="H24" s="26" t="n"/>
      <c r="J24" s="27">
        <f>IF(OR(G24="",H24=""),"",MAX(0,(H24-G24)*24-(I24/60)))</f>
        <v/>
      </c>
      <c r="K24" s="28">
        <f>IFERROR(VLOOKUP(D24,Jobs!$A:$G,5,FALSE),"")</f>
        <v/>
      </c>
      <c r="L24" s="28">
        <f>IF(OR(J24="",K24=""),"",J24*K24)</f>
        <v/>
      </c>
      <c r="M24" s="28" t="n"/>
      <c r="N24" s="28" t="n"/>
      <c r="O24" s="28">
        <f>IF(L24="","",L24+M24-N24)</f>
        <v/>
      </c>
      <c r="Q24" s="29" t="n"/>
      <c r="R24" s="29" t="n"/>
    </row>
    <row r="25">
      <c r="C25">
        <f>IFERROR(VLOOKUP(B25,Workers!$A:$H,2,FALSE),"")</f>
        <v/>
      </c>
      <c r="E25">
        <f>IFERROR(VLOOKUP(D25,Jobs!$A:$G,2,FALSE),"")</f>
        <v/>
      </c>
      <c r="F25" s="25" t="n"/>
      <c r="G25" s="26" t="n"/>
      <c r="H25" s="26" t="n"/>
      <c r="J25" s="27">
        <f>IF(OR(G25="",H25=""),"",MAX(0,(H25-G25)*24-(I25/60)))</f>
        <v/>
      </c>
      <c r="K25" s="28">
        <f>IFERROR(VLOOKUP(D25,Jobs!$A:$G,5,FALSE),"")</f>
        <v/>
      </c>
      <c r="L25" s="28">
        <f>IF(OR(J25="",K25=""),"",J25*K25)</f>
        <v/>
      </c>
      <c r="M25" s="28" t="n"/>
      <c r="N25" s="28" t="n"/>
      <c r="O25" s="28">
        <f>IF(L25="","",L25+M25-N25)</f>
        <v/>
      </c>
      <c r="Q25" s="29" t="n"/>
      <c r="R25" s="29" t="n"/>
    </row>
    <row r="26">
      <c r="C26">
        <f>IFERROR(VLOOKUP(B26,Workers!$A:$H,2,FALSE),"")</f>
        <v/>
      </c>
      <c r="E26">
        <f>IFERROR(VLOOKUP(D26,Jobs!$A:$G,2,FALSE),"")</f>
        <v/>
      </c>
      <c r="F26" s="25" t="n"/>
      <c r="G26" s="26" t="n"/>
      <c r="H26" s="26" t="n"/>
      <c r="J26" s="27">
        <f>IF(OR(G26="",H26=""),"",MAX(0,(H26-G26)*24-(I26/60)))</f>
        <v/>
      </c>
      <c r="K26" s="28">
        <f>IFERROR(VLOOKUP(D26,Jobs!$A:$G,5,FALSE),"")</f>
        <v/>
      </c>
      <c r="L26" s="28">
        <f>IF(OR(J26="",K26=""),"",J26*K26)</f>
        <v/>
      </c>
      <c r="M26" s="28" t="n"/>
      <c r="N26" s="28" t="n"/>
      <c r="O26" s="28">
        <f>IF(L26="","",L26+M26-N26)</f>
        <v/>
      </c>
      <c r="Q26" s="29" t="n"/>
      <c r="R26" s="29" t="n"/>
    </row>
    <row r="27">
      <c r="C27">
        <f>IFERROR(VLOOKUP(B27,Workers!$A:$H,2,FALSE),"")</f>
        <v/>
      </c>
      <c r="E27">
        <f>IFERROR(VLOOKUP(D27,Jobs!$A:$G,2,FALSE),"")</f>
        <v/>
      </c>
      <c r="F27" s="25" t="n"/>
      <c r="G27" s="26" t="n"/>
      <c r="H27" s="26" t="n"/>
      <c r="J27" s="27">
        <f>IF(OR(G27="",H27=""),"",MAX(0,(H27-G27)*24-(I27/60)))</f>
        <v/>
      </c>
      <c r="K27" s="28">
        <f>IFERROR(VLOOKUP(D27,Jobs!$A:$G,5,FALSE),"")</f>
        <v/>
      </c>
      <c r="L27" s="28">
        <f>IF(OR(J27="",K27=""),"",J27*K27)</f>
        <v/>
      </c>
      <c r="M27" s="28" t="n"/>
      <c r="N27" s="28" t="n"/>
      <c r="O27" s="28">
        <f>IF(L27="","",L27+M27-N27)</f>
        <v/>
      </c>
      <c r="Q27" s="29" t="n"/>
      <c r="R27" s="29" t="n"/>
    </row>
    <row r="28">
      <c r="C28">
        <f>IFERROR(VLOOKUP(B28,Workers!$A:$H,2,FALSE),"")</f>
        <v/>
      </c>
      <c r="E28">
        <f>IFERROR(VLOOKUP(D28,Jobs!$A:$G,2,FALSE),"")</f>
        <v/>
      </c>
      <c r="F28" s="25" t="n"/>
      <c r="G28" s="26" t="n"/>
      <c r="H28" s="26" t="n"/>
      <c r="J28" s="27">
        <f>IF(OR(G28="",H28=""),"",MAX(0,(H28-G28)*24-(I28/60)))</f>
        <v/>
      </c>
      <c r="K28" s="28">
        <f>IFERROR(VLOOKUP(D28,Jobs!$A:$G,5,FALSE),"")</f>
        <v/>
      </c>
      <c r="L28" s="28">
        <f>IF(OR(J28="",K28=""),"",J28*K28)</f>
        <v/>
      </c>
      <c r="M28" s="28" t="n"/>
      <c r="N28" s="28" t="n"/>
      <c r="O28" s="28">
        <f>IF(L28="","",L28+M28-N28)</f>
        <v/>
      </c>
      <c r="Q28" s="29" t="n"/>
      <c r="R28" s="29" t="n"/>
    </row>
    <row r="29">
      <c r="C29">
        <f>IFERROR(VLOOKUP(B29,Workers!$A:$H,2,FALSE),"")</f>
        <v/>
      </c>
      <c r="E29">
        <f>IFERROR(VLOOKUP(D29,Jobs!$A:$G,2,FALSE),"")</f>
        <v/>
      </c>
      <c r="F29" s="25" t="n"/>
      <c r="G29" s="26" t="n"/>
      <c r="H29" s="26" t="n"/>
      <c r="J29" s="27">
        <f>IF(OR(G29="",H29=""),"",MAX(0,(H29-G29)*24-(I29/60)))</f>
        <v/>
      </c>
      <c r="K29" s="28">
        <f>IFERROR(VLOOKUP(D29,Jobs!$A:$G,5,FALSE),"")</f>
        <v/>
      </c>
      <c r="L29" s="28">
        <f>IF(OR(J29="",K29=""),"",J29*K29)</f>
        <v/>
      </c>
      <c r="M29" s="28" t="n"/>
      <c r="N29" s="28" t="n"/>
      <c r="O29" s="28">
        <f>IF(L29="","",L29+M29-N29)</f>
        <v/>
      </c>
      <c r="Q29" s="29" t="n"/>
      <c r="R29" s="29" t="n"/>
    </row>
    <row r="30">
      <c r="C30">
        <f>IFERROR(VLOOKUP(B30,Workers!$A:$H,2,FALSE),"")</f>
        <v/>
      </c>
      <c r="E30">
        <f>IFERROR(VLOOKUP(D30,Jobs!$A:$G,2,FALSE),"")</f>
        <v/>
      </c>
      <c r="F30" s="25" t="n"/>
      <c r="G30" s="26" t="n"/>
      <c r="H30" s="26" t="n"/>
      <c r="J30" s="27">
        <f>IF(OR(G30="",H30=""),"",MAX(0,(H30-G30)*24-(I30/60)))</f>
        <v/>
      </c>
      <c r="K30" s="28">
        <f>IFERROR(VLOOKUP(D30,Jobs!$A:$G,5,FALSE),"")</f>
        <v/>
      </c>
      <c r="L30" s="28">
        <f>IF(OR(J30="",K30=""),"",J30*K30)</f>
        <v/>
      </c>
      <c r="M30" s="28" t="n"/>
      <c r="N30" s="28" t="n"/>
      <c r="O30" s="28">
        <f>IF(L30="","",L30+M30-N30)</f>
        <v/>
      </c>
      <c r="Q30" s="29" t="n"/>
      <c r="R30" s="29" t="n"/>
    </row>
    <row r="31">
      <c r="C31">
        <f>IFERROR(VLOOKUP(B31,Workers!$A:$H,2,FALSE),"")</f>
        <v/>
      </c>
      <c r="E31">
        <f>IFERROR(VLOOKUP(D31,Jobs!$A:$G,2,FALSE),"")</f>
        <v/>
      </c>
      <c r="F31" s="25" t="n"/>
      <c r="G31" s="26" t="n"/>
      <c r="H31" s="26" t="n"/>
      <c r="J31" s="27">
        <f>IF(OR(G31="",H31=""),"",MAX(0,(H31-G31)*24-(I31/60)))</f>
        <v/>
      </c>
      <c r="K31" s="28">
        <f>IFERROR(VLOOKUP(D31,Jobs!$A:$G,5,FALSE),"")</f>
        <v/>
      </c>
      <c r="L31" s="28">
        <f>IF(OR(J31="",K31=""),"",J31*K31)</f>
        <v/>
      </c>
      <c r="M31" s="28" t="n"/>
      <c r="N31" s="28" t="n"/>
      <c r="O31" s="28">
        <f>IF(L31="","",L31+M31-N31)</f>
        <v/>
      </c>
      <c r="Q31" s="29" t="n"/>
      <c r="R31" s="29" t="n"/>
    </row>
    <row r="32">
      <c r="C32">
        <f>IFERROR(VLOOKUP(B32,Workers!$A:$H,2,FALSE),"")</f>
        <v/>
      </c>
      <c r="E32">
        <f>IFERROR(VLOOKUP(D32,Jobs!$A:$G,2,FALSE),"")</f>
        <v/>
      </c>
      <c r="F32" s="25" t="n"/>
      <c r="G32" s="26" t="n"/>
      <c r="H32" s="26" t="n"/>
      <c r="J32" s="27">
        <f>IF(OR(G32="",H32=""),"",MAX(0,(H32-G32)*24-(I32/60)))</f>
        <v/>
      </c>
      <c r="K32" s="28">
        <f>IFERROR(VLOOKUP(D32,Jobs!$A:$G,5,FALSE),"")</f>
        <v/>
      </c>
      <c r="L32" s="28">
        <f>IF(OR(J32="",K32=""),"",J32*K32)</f>
        <v/>
      </c>
      <c r="M32" s="28" t="n"/>
      <c r="N32" s="28" t="n"/>
      <c r="O32" s="28">
        <f>IF(L32="","",L32+M32-N32)</f>
        <v/>
      </c>
      <c r="Q32" s="29" t="n"/>
      <c r="R32" s="29" t="n"/>
    </row>
    <row r="33">
      <c r="C33">
        <f>IFERROR(VLOOKUP(B33,Workers!$A:$H,2,FALSE),"")</f>
        <v/>
      </c>
      <c r="E33">
        <f>IFERROR(VLOOKUP(D33,Jobs!$A:$G,2,FALSE),"")</f>
        <v/>
      </c>
      <c r="F33" s="25" t="n"/>
      <c r="G33" s="26" t="n"/>
      <c r="H33" s="26" t="n"/>
      <c r="J33" s="27">
        <f>IF(OR(G33="",H33=""),"",MAX(0,(H33-G33)*24-(I33/60)))</f>
        <v/>
      </c>
      <c r="K33" s="28">
        <f>IFERROR(VLOOKUP(D33,Jobs!$A:$G,5,FALSE),"")</f>
        <v/>
      </c>
      <c r="L33" s="28">
        <f>IF(OR(J33="",K33=""),"",J33*K33)</f>
        <v/>
      </c>
      <c r="M33" s="28" t="n"/>
      <c r="N33" s="28" t="n"/>
      <c r="O33" s="28">
        <f>IF(L33="","",L33+M33-N33)</f>
        <v/>
      </c>
      <c r="Q33" s="29" t="n"/>
      <c r="R33" s="29" t="n"/>
    </row>
    <row r="34">
      <c r="C34">
        <f>IFERROR(VLOOKUP(B34,Workers!$A:$H,2,FALSE),"")</f>
        <v/>
      </c>
      <c r="E34">
        <f>IFERROR(VLOOKUP(D34,Jobs!$A:$G,2,FALSE),"")</f>
        <v/>
      </c>
      <c r="F34" s="25" t="n"/>
      <c r="G34" s="26" t="n"/>
      <c r="H34" s="26" t="n"/>
      <c r="J34" s="27">
        <f>IF(OR(G34="",H34=""),"",MAX(0,(H34-G34)*24-(I34/60)))</f>
        <v/>
      </c>
      <c r="K34" s="28">
        <f>IFERROR(VLOOKUP(D34,Jobs!$A:$G,5,FALSE),"")</f>
        <v/>
      </c>
      <c r="L34" s="28">
        <f>IF(OR(J34="",K34=""),"",J34*K34)</f>
        <v/>
      </c>
      <c r="M34" s="28" t="n"/>
      <c r="N34" s="28" t="n"/>
      <c r="O34" s="28">
        <f>IF(L34="","",L34+M34-N34)</f>
        <v/>
      </c>
      <c r="Q34" s="29" t="n"/>
      <c r="R34" s="29" t="n"/>
    </row>
    <row r="35">
      <c r="C35">
        <f>IFERROR(VLOOKUP(B35,Workers!$A:$H,2,FALSE),"")</f>
        <v/>
      </c>
      <c r="E35">
        <f>IFERROR(VLOOKUP(D35,Jobs!$A:$G,2,FALSE),"")</f>
        <v/>
      </c>
      <c r="F35" s="25" t="n"/>
      <c r="G35" s="26" t="n"/>
      <c r="H35" s="26" t="n"/>
      <c r="J35" s="27">
        <f>IF(OR(G35="",H35=""),"",MAX(0,(H35-G35)*24-(I35/60)))</f>
        <v/>
      </c>
      <c r="K35" s="28">
        <f>IFERROR(VLOOKUP(D35,Jobs!$A:$G,5,FALSE),"")</f>
        <v/>
      </c>
      <c r="L35" s="28">
        <f>IF(OR(J35="",K35=""),"",J35*K35)</f>
        <v/>
      </c>
      <c r="M35" s="28" t="n"/>
      <c r="N35" s="28" t="n"/>
      <c r="O35" s="28">
        <f>IF(L35="","",L35+M35-N35)</f>
        <v/>
      </c>
      <c r="Q35" s="29" t="n"/>
      <c r="R35" s="29" t="n"/>
    </row>
    <row r="36">
      <c r="C36">
        <f>IFERROR(VLOOKUP(B36,Workers!$A:$H,2,FALSE),"")</f>
        <v/>
      </c>
      <c r="E36">
        <f>IFERROR(VLOOKUP(D36,Jobs!$A:$G,2,FALSE),"")</f>
        <v/>
      </c>
      <c r="F36" s="25" t="n"/>
      <c r="G36" s="26" t="n"/>
      <c r="H36" s="26" t="n"/>
      <c r="J36" s="27">
        <f>IF(OR(G36="",H36=""),"",MAX(0,(H36-G36)*24-(I36/60)))</f>
        <v/>
      </c>
      <c r="K36" s="28">
        <f>IFERROR(VLOOKUP(D36,Jobs!$A:$G,5,FALSE),"")</f>
        <v/>
      </c>
      <c r="L36" s="28">
        <f>IF(OR(J36="",K36=""),"",J36*K36)</f>
        <v/>
      </c>
      <c r="M36" s="28" t="n"/>
      <c r="N36" s="28" t="n"/>
      <c r="O36" s="28">
        <f>IF(L36="","",L36+M36-N36)</f>
        <v/>
      </c>
      <c r="Q36" s="29" t="n"/>
      <c r="R36" s="29" t="n"/>
    </row>
    <row r="37">
      <c r="C37">
        <f>IFERROR(VLOOKUP(B37,Workers!$A:$H,2,FALSE),"")</f>
        <v/>
      </c>
      <c r="E37">
        <f>IFERROR(VLOOKUP(D37,Jobs!$A:$G,2,FALSE),"")</f>
        <v/>
      </c>
      <c r="F37" s="25" t="n"/>
      <c r="G37" s="26" t="n"/>
      <c r="H37" s="26" t="n"/>
      <c r="J37" s="27">
        <f>IF(OR(G37="",H37=""),"",MAX(0,(H37-G37)*24-(I37/60)))</f>
        <v/>
      </c>
      <c r="K37" s="28">
        <f>IFERROR(VLOOKUP(D37,Jobs!$A:$G,5,FALSE),"")</f>
        <v/>
      </c>
      <c r="L37" s="28">
        <f>IF(OR(J37="",K37=""),"",J37*K37)</f>
        <v/>
      </c>
      <c r="M37" s="28" t="n"/>
      <c r="N37" s="28" t="n"/>
      <c r="O37" s="28">
        <f>IF(L37="","",L37+M37-N37)</f>
        <v/>
      </c>
      <c r="Q37" s="29" t="n"/>
      <c r="R37" s="29" t="n"/>
    </row>
    <row r="38">
      <c r="C38">
        <f>IFERROR(VLOOKUP(B38,Workers!$A:$H,2,FALSE),"")</f>
        <v/>
      </c>
      <c r="E38">
        <f>IFERROR(VLOOKUP(D38,Jobs!$A:$G,2,FALSE),"")</f>
        <v/>
      </c>
      <c r="F38" s="25" t="n"/>
      <c r="G38" s="26" t="n"/>
      <c r="H38" s="26" t="n"/>
      <c r="J38" s="27">
        <f>IF(OR(G38="",H38=""),"",MAX(0,(H38-G38)*24-(I38/60)))</f>
        <v/>
      </c>
      <c r="K38" s="28">
        <f>IFERROR(VLOOKUP(D38,Jobs!$A:$G,5,FALSE),"")</f>
        <v/>
      </c>
      <c r="L38" s="28">
        <f>IF(OR(J38="",K38=""),"",J38*K38)</f>
        <v/>
      </c>
      <c r="M38" s="28" t="n"/>
      <c r="N38" s="28" t="n"/>
      <c r="O38" s="28">
        <f>IF(L38="","",L38+M38-N38)</f>
        <v/>
      </c>
      <c r="Q38" s="29" t="n"/>
      <c r="R38" s="29" t="n"/>
    </row>
    <row r="39">
      <c r="C39">
        <f>IFERROR(VLOOKUP(B39,Workers!$A:$H,2,FALSE),"")</f>
        <v/>
      </c>
      <c r="E39">
        <f>IFERROR(VLOOKUP(D39,Jobs!$A:$G,2,FALSE),"")</f>
        <v/>
      </c>
      <c r="F39" s="25" t="n"/>
      <c r="G39" s="26" t="n"/>
      <c r="H39" s="26" t="n"/>
      <c r="J39" s="27">
        <f>IF(OR(G39="",H39=""),"",MAX(0,(H39-G39)*24-(I39/60)))</f>
        <v/>
      </c>
      <c r="K39" s="28">
        <f>IFERROR(VLOOKUP(D39,Jobs!$A:$G,5,FALSE),"")</f>
        <v/>
      </c>
      <c r="L39" s="28">
        <f>IF(OR(J39="",K39=""),"",J39*K39)</f>
        <v/>
      </c>
      <c r="M39" s="28" t="n"/>
      <c r="N39" s="28" t="n"/>
      <c r="O39" s="28">
        <f>IF(L39="","",L39+M39-N39)</f>
        <v/>
      </c>
      <c r="Q39" s="29" t="n"/>
      <c r="R39" s="29" t="n"/>
    </row>
    <row r="40">
      <c r="C40">
        <f>IFERROR(VLOOKUP(B40,Workers!$A:$H,2,FALSE),"")</f>
        <v/>
      </c>
      <c r="E40">
        <f>IFERROR(VLOOKUP(D40,Jobs!$A:$G,2,FALSE),"")</f>
        <v/>
      </c>
      <c r="F40" s="25" t="n"/>
      <c r="G40" s="26" t="n"/>
      <c r="H40" s="26" t="n"/>
      <c r="J40" s="27">
        <f>IF(OR(G40="",H40=""),"",MAX(0,(H40-G40)*24-(I40/60)))</f>
        <v/>
      </c>
      <c r="K40" s="28">
        <f>IFERROR(VLOOKUP(D40,Jobs!$A:$G,5,FALSE),"")</f>
        <v/>
      </c>
      <c r="L40" s="28">
        <f>IF(OR(J40="",K40=""),"",J40*K40)</f>
        <v/>
      </c>
      <c r="M40" s="28" t="n"/>
      <c r="N40" s="28" t="n"/>
      <c r="O40" s="28">
        <f>IF(L40="","",L40+M40-N40)</f>
        <v/>
      </c>
      <c r="Q40" s="29" t="n"/>
      <c r="R40" s="29" t="n"/>
    </row>
    <row r="41">
      <c r="C41">
        <f>IFERROR(VLOOKUP(B41,Workers!$A:$H,2,FALSE),"")</f>
        <v/>
      </c>
      <c r="E41">
        <f>IFERROR(VLOOKUP(D41,Jobs!$A:$G,2,FALSE),"")</f>
        <v/>
      </c>
      <c r="F41" s="25" t="n"/>
      <c r="G41" s="26" t="n"/>
      <c r="H41" s="26" t="n"/>
      <c r="J41" s="27">
        <f>IF(OR(G41="",H41=""),"",MAX(0,(H41-G41)*24-(I41/60)))</f>
        <v/>
      </c>
      <c r="K41" s="28">
        <f>IFERROR(VLOOKUP(D41,Jobs!$A:$G,5,FALSE),"")</f>
        <v/>
      </c>
      <c r="L41" s="28">
        <f>IF(OR(J41="",K41=""),"",J41*K41)</f>
        <v/>
      </c>
      <c r="M41" s="28" t="n"/>
      <c r="N41" s="28" t="n"/>
      <c r="O41" s="28">
        <f>IF(L41="","",L41+M41-N41)</f>
        <v/>
      </c>
      <c r="Q41" s="29" t="n"/>
      <c r="R41" s="29" t="n"/>
    </row>
    <row r="42">
      <c r="C42">
        <f>IFERROR(VLOOKUP(B42,Workers!$A:$H,2,FALSE),"")</f>
        <v/>
      </c>
      <c r="E42">
        <f>IFERROR(VLOOKUP(D42,Jobs!$A:$G,2,FALSE),"")</f>
        <v/>
      </c>
      <c r="F42" s="25" t="n"/>
      <c r="G42" s="26" t="n"/>
      <c r="H42" s="26" t="n"/>
      <c r="J42" s="27">
        <f>IF(OR(G42="",H42=""),"",MAX(0,(H42-G42)*24-(I42/60)))</f>
        <v/>
      </c>
      <c r="K42" s="28">
        <f>IFERROR(VLOOKUP(D42,Jobs!$A:$G,5,FALSE),"")</f>
        <v/>
      </c>
      <c r="L42" s="28">
        <f>IF(OR(J42="",K42=""),"",J42*K42)</f>
        <v/>
      </c>
      <c r="M42" s="28" t="n"/>
      <c r="N42" s="28" t="n"/>
      <c r="O42" s="28">
        <f>IF(L42="","",L42+M42-N42)</f>
        <v/>
      </c>
      <c r="Q42" s="29" t="n"/>
      <c r="R42" s="29" t="n"/>
    </row>
    <row r="43">
      <c r="C43">
        <f>IFERROR(VLOOKUP(B43,Workers!$A:$H,2,FALSE),"")</f>
        <v/>
      </c>
      <c r="E43">
        <f>IFERROR(VLOOKUP(D43,Jobs!$A:$G,2,FALSE),"")</f>
        <v/>
      </c>
      <c r="F43" s="25" t="n"/>
      <c r="G43" s="26" t="n"/>
      <c r="H43" s="26" t="n"/>
      <c r="J43" s="27">
        <f>IF(OR(G43="",H43=""),"",MAX(0,(H43-G43)*24-(I43/60)))</f>
        <v/>
      </c>
      <c r="K43" s="28">
        <f>IFERROR(VLOOKUP(D43,Jobs!$A:$G,5,FALSE),"")</f>
        <v/>
      </c>
      <c r="L43" s="28">
        <f>IF(OR(J43="",K43=""),"",J43*K43)</f>
        <v/>
      </c>
      <c r="M43" s="28" t="n"/>
      <c r="N43" s="28" t="n"/>
      <c r="O43" s="28">
        <f>IF(L43="","",L43+M43-N43)</f>
        <v/>
      </c>
      <c r="Q43" s="29" t="n"/>
      <c r="R43" s="29" t="n"/>
    </row>
    <row r="44">
      <c r="C44">
        <f>IFERROR(VLOOKUP(B44,Workers!$A:$H,2,FALSE),"")</f>
        <v/>
      </c>
      <c r="E44">
        <f>IFERROR(VLOOKUP(D44,Jobs!$A:$G,2,FALSE),"")</f>
        <v/>
      </c>
      <c r="F44" s="25" t="n"/>
      <c r="G44" s="26" t="n"/>
      <c r="H44" s="26" t="n"/>
      <c r="J44" s="27">
        <f>IF(OR(G44="",H44=""),"",MAX(0,(H44-G44)*24-(I44/60)))</f>
        <v/>
      </c>
      <c r="K44" s="28">
        <f>IFERROR(VLOOKUP(D44,Jobs!$A:$G,5,FALSE),"")</f>
        <v/>
      </c>
      <c r="L44" s="28">
        <f>IF(OR(J44="",K44=""),"",J44*K44)</f>
        <v/>
      </c>
      <c r="M44" s="28" t="n"/>
      <c r="N44" s="28" t="n"/>
      <c r="O44" s="28">
        <f>IF(L44="","",L44+M44-N44)</f>
        <v/>
      </c>
      <c r="Q44" s="29" t="n"/>
      <c r="R44" s="29" t="n"/>
    </row>
    <row r="45">
      <c r="C45">
        <f>IFERROR(VLOOKUP(B45,Workers!$A:$H,2,FALSE),"")</f>
        <v/>
      </c>
      <c r="E45">
        <f>IFERROR(VLOOKUP(D45,Jobs!$A:$G,2,FALSE),"")</f>
        <v/>
      </c>
      <c r="F45" s="25" t="n"/>
      <c r="G45" s="26" t="n"/>
      <c r="H45" s="26" t="n"/>
      <c r="J45" s="27">
        <f>IF(OR(G45="",H45=""),"",MAX(0,(H45-G45)*24-(I45/60)))</f>
        <v/>
      </c>
      <c r="K45" s="28">
        <f>IFERROR(VLOOKUP(D45,Jobs!$A:$G,5,FALSE),"")</f>
        <v/>
      </c>
      <c r="L45" s="28">
        <f>IF(OR(J45="",K45=""),"",J45*K45)</f>
        <v/>
      </c>
      <c r="M45" s="28" t="n"/>
      <c r="N45" s="28" t="n"/>
      <c r="O45" s="28">
        <f>IF(L45="","",L45+M45-N45)</f>
        <v/>
      </c>
      <c r="Q45" s="29" t="n"/>
      <c r="R45" s="29" t="n"/>
    </row>
    <row r="46">
      <c r="C46">
        <f>IFERROR(VLOOKUP(B46,Workers!$A:$H,2,FALSE),"")</f>
        <v/>
      </c>
      <c r="E46">
        <f>IFERROR(VLOOKUP(D46,Jobs!$A:$G,2,FALSE),"")</f>
        <v/>
      </c>
      <c r="F46" s="25" t="n"/>
      <c r="G46" s="26" t="n"/>
      <c r="H46" s="26" t="n"/>
      <c r="J46" s="27">
        <f>IF(OR(G46="",H46=""),"",MAX(0,(H46-G46)*24-(I46/60)))</f>
        <v/>
      </c>
      <c r="K46" s="28">
        <f>IFERROR(VLOOKUP(D46,Jobs!$A:$G,5,FALSE),"")</f>
        <v/>
      </c>
      <c r="L46" s="28">
        <f>IF(OR(J46="",K46=""),"",J46*K46)</f>
        <v/>
      </c>
      <c r="M46" s="28" t="n"/>
      <c r="N46" s="28" t="n"/>
      <c r="O46" s="28">
        <f>IF(L46="","",L46+M46-N46)</f>
        <v/>
      </c>
      <c r="Q46" s="29" t="n"/>
      <c r="R46" s="29" t="n"/>
    </row>
    <row r="47">
      <c r="C47">
        <f>IFERROR(VLOOKUP(B47,Workers!$A:$H,2,FALSE),"")</f>
        <v/>
      </c>
      <c r="E47">
        <f>IFERROR(VLOOKUP(D47,Jobs!$A:$G,2,FALSE),"")</f>
        <v/>
      </c>
      <c r="F47" s="25" t="n"/>
      <c r="G47" s="26" t="n"/>
      <c r="H47" s="26" t="n"/>
      <c r="J47" s="27">
        <f>IF(OR(G47="",H47=""),"",MAX(0,(H47-G47)*24-(I47/60)))</f>
        <v/>
      </c>
      <c r="K47" s="28">
        <f>IFERROR(VLOOKUP(D47,Jobs!$A:$G,5,FALSE),"")</f>
        <v/>
      </c>
      <c r="L47" s="28">
        <f>IF(OR(J47="",K47=""),"",J47*K47)</f>
        <v/>
      </c>
      <c r="M47" s="28" t="n"/>
      <c r="N47" s="28" t="n"/>
      <c r="O47" s="28">
        <f>IF(L47="","",L47+M47-N47)</f>
        <v/>
      </c>
      <c r="Q47" s="29" t="n"/>
      <c r="R47" s="29" t="n"/>
    </row>
    <row r="48">
      <c r="C48">
        <f>IFERROR(VLOOKUP(B48,Workers!$A:$H,2,FALSE),"")</f>
        <v/>
      </c>
      <c r="E48">
        <f>IFERROR(VLOOKUP(D48,Jobs!$A:$G,2,FALSE),"")</f>
        <v/>
      </c>
      <c r="F48" s="25" t="n"/>
      <c r="G48" s="26" t="n"/>
      <c r="H48" s="26" t="n"/>
      <c r="J48" s="27">
        <f>IF(OR(G48="",H48=""),"",MAX(0,(H48-G48)*24-(I48/60)))</f>
        <v/>
      </c>
      <c r="K48" s="28">
        <f>IFERROR(VLOOKUP(D48,Jobs!$A:$G,5,FALSE),"")</f>
        <v/>
      </c>
      <c r="L48" s="28">
        <f>IF(OR(J48="",K48=""),"",J48*K48)</f>
        <v/>
      </c>
      <c r="M48" s="28" t="n"/>
      <c r="N48" s="28" t="n"/>
      <c r="O48" s="28">
        <f>IF(L48="","",L48+M48-N48)</f>
        <v/>
      </c>
      <c r="Q48" s="29" t="n"/>
      <c r="R48" s="29" t="n"/>
    </row>
    <row r="49">
      <c r="C49">
        <f>IFERROR(VLOOKUP(B49,Workers!$A:$H,2,FALSE),"")</f>
        <v/>
      </c>
      <c r="E49">
        <f>IFERROR(VLOOKUP(D49,Jobs!$A:$G,2,FALSE),"")</f>
        <v/>
      </c>
      <c r="F49" s="25" t="n"/>
      <c r="G49" s="26" t="n"/>
      <c r="H49" s="26" t="n"/>
      <c r="J49" s="27">
        <f>IF(OR(G49="",H49=""),"",MAX(0,(H49-G49)*24-(I49/60)))</f>
        <v/>
      </c>
      <c r="K49" s="28">
        <f>IFERROR(VLOOKUP(D49,Jobs!$A:$G,5,FALSE),"")</f>
        <v/>
      </c>
      <c r="L49" s="28">
        <f>IF(OR(J49="",K49=""),"",J49*K49)</f>
        <v/>
      </c>
      <c r="M49" s="28" t="n"/>
      <c r="N49" s="28" t="n"/>
      <c r="O49" s="28">
        <f>IF(L49="","",L49+M49-N49)</f>
        <v/>
      </c>
      <c r="Q49" s="29" t="n"/>
      <c r="R49" s="29" t="n"/>
    </row>
    <row r="50">
      <c r="C50">
        <f>IFERROR(VLOOKUP(B50,Workers!$A:$H,2,FALSE),"")</f>
        <v/>
      </c>
      <c r="E50">
        <f>IFERROR(VLOOKUP(D50,Jobs!$A:$G,2,FALSE),"")</f>
        <v/>
      </c>
      <c r="F50" s="25" t="n"/>
      <c r="G50" s="26" t="n"/>
      <c r="H50" s="26" t="n"/>
      <c r="J50" s="27">
        <f>IF(OR(G50="",H50=""),"",MAX(0,(H50-G50)*24-(I50/60)))</f>
        <v/>
      </c>
      <c r="K50" s="28">
        <f>IFERROR(VLOOKUP(D50,Jobs!$A:$G,5,FALSE),"")</f>
        <v/>
      </c>
      <c r="L50" s="28">
        <f>IF(OR(J50="",K50=""),"",J50*K50)</f>
        <v/>
      </c>
      <c r="M50" s="28" t="n"/>
      <c r="N50" s="28" t="n"/>
      <c r="O50" s="28">
        <f>IF(L50="","",L50+M50-N50)</f>
        <v/>
      </c>
      <c r="Q50" s="29" t="n"/>
      <c r="R50" s="29" t="n"/>
    </row>
    <row r="51">
      <c r="C51">
        <f>IFERROR(VLOOKUP(B51,Workers!$A:$H,2,FALSE),"")</f>
        <v/>
      </c>
      <c r="E51">
        <f>IFERROR(VLOOKUP(D51,Jobs!$A:$G,2,FALSE),"")</f>
        <v/>
      </c>
      <c r="F51" s="25" t="n"/>
      <c r="G51" s="26" t="n"/>
      <c r="H51" s="26" t="n"/>
      <c r="J51" s="27">
        <f>IF(OR(G51="",H51=""),"",MAX(0,(H51-G51)*24-(I51/60)))</f>
        <v/>
      </c>
      <c r="K51" s="28">
        <f>IFERROR(VLOOKUP(D51,Jobs!$A:$G,5,FALSE),"")</f>
        <v/>
      </c>
      <c r="L51" s="28">
        <f>IF(OR(J51="",K51=""),"",J51*K51)</f>
        <v/>
      </c>
      <c r="M51" s="28" t="n"/>
      <c r="N51" s="28" t="n"/>
      <c r="O51" s="28">
        <f>IF(L51="","",L51+M51-N51)</f>
        <v/>
      </c>
      <c r="Q51" s="29" t="n"/>
      <c r="R51" s="29" t="n"/>
    </row>
    <row r="52">
      <c r="C52">
        <f>IFERROR(VLOOKUP(B52,Workers!$A:$H,2,FALSE),"")</f>
        <v/>
      </c>
      <c r="E52">
        <f>IFERROR(VLOOKUP(D52,Jobs!$A:$G,2,FALSE),"")</f>
        <v/>
      </c>
      <c r="F52" s="25" t="n"/>
      <c r="G52" s="26" t="n"/>
      <c r="H52" s="26" t="n"/>
      <c r="J52" s="27">
        <f>IF(OR(G52="",H52=""),"",MAX(0,(H52-G52)*24-(I52/60)))</f>
        <v/>
      </c>
      <c r="K52" s="28">
        <f>IFERROR(VLOOKUP(D52,Jobs!$A:$G,5,FALSE),"")</f>
        <v/>
      </c>
      <c r="L52" s="28">
        <f>IF(OR(J52="",K52=""),"",J52*K52)</f>
        <v/>
      </c>
      <c r="M52" s="28" t="n"/>
      <c r="N52" s="28" t="n"/>
      <c r="O52" s="28">
        <f>IF(L52="","",L52+M52-N52)</f>
        <v/>
      </c>
      <c r="Q52" s="29" t="n"/>
      <c r="R52" s="29" t="n"/>
    </row>
    <row r="53">
      <c r="C53">
        <f>IFERROR(VLOOKUP(B53,Workers!$A:$H,2,FALSE),"")</f>
        <v/>
      </c>
      <c r="E53">
        <f>IFERROR(VLOOKUP(D53,Jobs!$A:$G,2,FALSE),"")</f>
        <v/>
      </c>
      <c r="F53" s="25" t="n"/>
      <c r="G53" s="26" t="n"/>
      <c r="H53" s="26" t="n"/>
      <c r="J53" s="27">
        <f>IF(OR(G53="",H53=""),"",MAX(0,(H53-G53)*24-(I53/60)))</f>
        <v/>
      </c>
      <c r="K53" s="28">
        <f>IFERROR(VLOOKUP(D53,Jobs!$A:$G,5,FALSE),"")</f>
        <v/>
      </c>
      <c r="L53" s="28">
        <f>IF(OR(J53="",K53=""),"",J53*K53)</f>
        <v/>
      </c>
      <c r="M53" s="28" t="n"/>
      <c r="N53" s="28" t="n"/>
      <c r="O53" s="28">
        <f>IF(L53="","",L53+M53-N53)</f>
        <v/>
      </c>
      <c r="Q53" s="29" t="n"/>
      <c r="R53" s="29" t="n"/>
    </row>
    <row r="54">
      <c r="C54">
        <f>IFERROR(VLOOKUP(B54,Workers!$A:$H,2,FALSE),"")</f>
        <v/>
      </c>
      <c r="E54">
        <f>IFERROR(VLOOKUP(D54,Jobs!$A:$G,2,FALSE),"")</f>
        <v/>
      </c>
      <c r="F54" s="25" t="n"/>
      <c r="G54" s="26" t="n"/>
      <c r="H54" s="26" t="n"/>
      <c r="J54" s="27">
        <f>IF(OR(G54="",H54=""),"",MAX(0,(H54-G54)*24-(I54/60)))</f>
        <v/>
      </c>
      <c r="K54" s="28">
        <f>IFERROR(VLOOKUP(D54,Jobs!$A:$G,5,FALSE),"")</f>
        <v/>
      </c>
      <c r="L54" s="28">
        <f>IF(OR(J54="",K54=""),"",J54*K54)</f>
        <v/>
      </c>
      <c r="M54" s="28" t="n"/>
      <c r="N54" s="28" t="n"/>
      <c r="O54" s="28">
        <f>IF(L54="","",L54+M54-N54)</f>
        <v/>
      </c>
      <c r="Q54" s="29" t="n"/>
      <c r="R54" s="29" t="n"/>
    </row>
    <row r="55">
      <c r="C55">
        <f>IFERROR(VLOOKUP(B55,Workers!$A:$H,2,FALSE),"")</f>
        <v/>
      </c>
      <c r="E55">
        <f>IFERROR(VLOOKUP(D55,Jobs!$A:$G,2,FALSE),"")</f>
        <v/>
      </c>
      <c r="F55" s="25" t="n"/>
      <c r="G55" s="26" t="n"/>
      <c r="H55" s="26" t="n"/>
      <c r="J55" s="27">
        <f>IF(OR(G55="",H55=""),"",MAX(0,(H55-G55)*24-(I55/60)))</f>
        <v/>
      </c>
      <c r="K55" s="28">
        <f>IFERROR(VLOOKUP(D55,Jobs!$A:$G,5,FALSE),"")</f>
        <v/>
      </c>
      <c r="L55" s="28">
        <f>IF(OR(J55="",K55=""),"",J55*K55)</f>
        <v/>
      </c>
      <c r="M55" s="28" t="n"/>
      <c r="N55" s="28" t="n"/>
      <c r="O55" s="28">
        <f>IF(L55="","",L55+M55-N55)</f>
        <v/>
      </c>
      <c r="Q55" s="29" t="n"/>
      <c r="R55" s="29" t="n"/>
    </row>
    <row r="56">
      <c r="C56">
        <f>IFERROR(VLOOKUP(B56,Workers!$A:$H,2,FALSE),"")</f>
        <v/>
      </c>
      <c r="E56">
        <f>IFERROR(VLOOKUP(D56,Jobs!$A:$G,2,FALSE),"")</f>
        <v/>
      </c>
      <c r="F56" s="25" t="n"/>
      <c r="G56" s="26" t="n"/>
      <c r="H56" s="26" t="n"/>
      <c r="J56" s="27">
        <f>IF(OR(G56="",H56=""),"",MAX(0,(H56-G56)*24-(I56/60)))</f>
        <v/>
      </c>
      <c r="K56" s="28">
        <f>IFERROR(VLOOKUP(D56,Jobs!$A:$G,5,FALSE),"")</f>
        <v/>
      </c>
      <c r="L56" s="28">
        <f>IF(OR(J56="",K56=""),"",J56*K56)</f>
        <v/>
      </c>
      <c r="M56" s="28" t="n"/>
      <c r="N56" s="28" t="n"/>
      <c r="O56" s="28">
        <f>IF(L56="","",L56+M56-N56)</f>
        <v/>
      </c>
      <c r="Q56" s="29" t="n"/>
      <c r="R56" s="29" t="n"/>
    </row>
    <row r="57">
      <c r="C57">
        <f>IFERROR(VLOOKUP(B57,Workers!$A:$H,2,FALSE),"")</f>
        <v/>
      </c>
      <c r="E57">
        <f>IFERROR(VLOOKUP(D57,Jobs!$A:$G,2,FALSE),"")</f>
        <v/>
      </c>
      <c r="F57" s="25" t="n"/>
      <c r="G57" s="26" t="n"/>
      <c r="H57" s="26" t="n"/>
      <c r="J57" s="27">
        <f>IF(OR(G57="",H57=""),"",MAX(0,(H57-G57)*24-(I57/60)))</f>
        <v/>
      </c>
      <c r="K57" s="28">
        <f>IFERROR(VLOOKUP(D57,Jobs!$A:$G,5,FALSE),"")</f>
        <v/>
      </c>
      <c r="L57" s="28">
        <f>IF(OR(J57="",K57=""),"",J57*K57)</f>
        <v/>
      </c>
      <c r="M57" s="28" t="n"/>
      <c r="N57" s="28" t="n"/>
      <c r="O57" s="28">
        <f>IF(L57="","",L57+M57-N57)</f>
        <v/>
      </c>
      <c r="Q57" s="29" t="n"/>
      <c r="R57" s="29" t="n"/>
    </row>
    <row r="58">
      <c r="C58">
        <f>IFERROR(VLOOKUP(B58,Workers!$A:$H,2,FALSE),"")</f>
        <v/>
      </c>
      <c r="E58">
        <f>IFERROR(VLOOKUP(D58,Jobs!$A:$G,2,FALSE),"")</f>
        <v/>
      </c>
      <c r="F58" s="25" t="n"/>
      <c r="G58" s="26" t="n"/>
      <c r="H58" s="26" t="n"/>
      <c r="J58" s="27">
        <f>IF(OR(G58="",H58=""),"",MAX(0,(H58-G58)*24-(I58/60)))</f>
        <v/>
      </c>
      <c r="K58" s="28">
        <f>IFERROR(VLOOKUP(D58,Jobs!$A:$G,5,FALSE),"")</f>
        <v/>
      </c>
      <c r="L58" s="28">
        <f>IF(OR(J58="",K58=""),"",J58*K58)</f>
        <v/>
      </c>
      <c r="M58" s="28" t="n"/>
      <c r="N58" s="28" t="n"/>
      <c r="O58" s="28">
        <f>IF(L58="","",L58+M58-N58)</f>
        <v/>
      </c>
      <c r="Q58" s="29" t="n"/>
      <c r="R58" s="29" t="n"/>
    </row>
    <row r="59">
      <c r="C59">
        <f>IFERROR(VLOOKUP(B59,Workers!$A:$H,2,FALSE),"")</f>
        <v/>
      </c>
      <c r="E59">
        <f>IFERROR(VLOOKUP(D59,Jobs!$A:$G,2,FALSE),"")</f>
        <v/>
      </c>
      <c r="F59" s="25" t="n"/>
      <c r="G59" s="26" t="n"/>
      <c r="H59" s="26" t="n"/>
      <c r="J59" s="27">
        <f>IF(OR(G59="",H59=""),"",MAX(0,(H59-G59)*24-(I59/60)))</f>
        <v/>
      </c>
      <c r="K59" s="28">
        <f>IFERROR(VLOOKUP(D59,Jobs!$A:$G,5,FALSE),"")</f>
        <v/>
      </c>
      <c r="L59" s="28">
        <f>IF(OR(J59="",K59=""),"",J59*K59)</f>
        <v/>
      </c>
      <c r="M59" s="28" t="n"/>
      <c r="N59" s="28" t="n"/>
      <c r="O59" s="28">
        <f>IF(L59="","",L59+M59-N59)</f>
        <v/>
      </c>
      <c r="Q59" s="29" t="n"/>
      <c r="R59" s="29" t="n"/>
    </row>
    <row r="60">
      <c r="C60">
        <f>IFERROR(VLOOKUP(B60,Workers!$A:$H,2,FALSE),"")</f>
        <v/>
      </c>
      <c r="E60">
        <f>IFERROR(VLOOKUP(D60,Jobs!$A:$G,2,FALSE),"")</f>
        <v/>
      </c>
      <c r="F60" s="25" t="n"/>
      <c r="G60" s="26" t="n"/>
      <c r="H60" s="26" t="n"/>
      <c r="J60" s="27">
        <f>IF(OR(G60="",H60=""),"",MAX(0,(H60-G60)*24-(I60/60)))</f>
        <v/>
      </c>
      <c r="K60" s="28">
        <f>IFERROR(VLOOKUP(D60,Jobs!$A:$G,5,FALSE),"")</f>
        <v/>
      </c>
      <c r="L60" s="28">
        <f>IF(OR(J60="",K60=""),"",J60*K60)</f>
        <v/>
      </c>
      <c r="M60" s="28" t="n"/>
      <c r="N60" s="28" t="n"/>
      <c r="O60" s="28">
        <f>IF(L60="","",L60+M60-N60)</f>
        <v/>
      </c>
      <c r="Q60" s="29" t="n"/>
      <c r="R60" s="29" t="n"/>
    </row>
    <row r="61">
      <c r="C61">
        <f>IFERROR(VLOOKUP(B61,Workers!$A:$H,2,FALSE),"")</f>
        <v/>
      </c>
      <c r="E61">
        <f>IFERROR(VLOOKUP(D61,Jobs!$A:$G,2,FALSE),"")</f>
        <v/>
      </c>
      <c r="F61" s="25" t="n"/>
      <c r="G61" s="26" t="n"/>
      <c r="H61" s="26" t="n"/>
      <c r="J61" s="27">
        <f>IF(OR(G61="",H61=""),"",MAX(0,(H61-G61)*24-(I61/60)))</f>
        <v/>
      </c>
      <c r="K61" s="28">
        <f>IFERROR(VLOOKUP(D61,Jobs!$A:$G,5,FALSE),"")</f>
        <v/>
      </c>
      <c r="L61" s="28">
        <f>IF(OR(J61="",K61=""),"",J61*K61)</f>
        <v/>
      </c>
      <c r="M61" s="28" t="n"/>
      <c r="N61" s="28" t="n"/>
      <c r="O61" s="28">
        <f>IF(L61="","",L61+M61-N61)</f>
        <v/>
      </c>
      <c r="Q61" s="29" t="n"/>
      <c r="R61" s="29" t="n"/>
    </row>
    <row r="62">
      <c r="C62">
        <f>IFERROR(VLOOKUP(B62,Workers!$A:$H,2,FALSE),"")</f>
        <v/>
      </c>
      <c r="E62">
        <f>IFERROR(VLOOKUP(D62,Jobs!$A:$G,2,FALSE),"")</f>
        <v/>
      </c>
      <c r="F62" s="25" t="n"/>
      <c r="G62" s="26" t="n"/>
      <c r="H62" s="26" t="n"/>
      <c r="J62" s="27">
        <f>IF(OR(G62="",H62=""),"",MAX(0,(H62-G62)*24-(I62/60)))</f>
        <v/>
      </c>
      <c r="K62" s="28">
        <f>IFERROR(VLOOKUP(D62,Jobs!$A:$G,5,FALSE),"")</f>
        <v/>
      </c>
      <c r="L62" s="28">
        <f>IF(OR(J62="",K62=""),"",J62*K62)</f>
        <v/>
      </c>
      <c r="M62" s="28" t="n"/>
      <c r="N62" s="28" t="n"/>
      <c r="O62" s="28">
        <f>IF(L62="","",L62+M62-N62)</f>
        <v/>
      </c>
      <c r="Q62" s="29" t="n"/>
      <c r="R62" s="29" t="n"/>
    </row>
    <row r="63">
      <c r="C63">
        <f>IFERROR(VLOOKUP(B63,Workers!$A:$H,2,FALSE),"")</f>
        <v/>
      </c>
      <c r="E63">
        <f>IFERROR(VLOOKUP(D63,Jobs!$A:$G,2,FALSE),"")</f>
        <v/>
      </c>
      <c r="F63" s="25" t="n"/>
      <c r="G63" s="26" t="n"/>
      <c r="H63" s="26" t="n"/>
      <c r="J63" s="27">
        <f>IF(OR(G63="",H63=""),"",MAX(0,(H63-G63)*24-(I63/60)))</f>
        <v/>
      </c>
      <c r="K63" s="28">
        <f>IFERROR(VLOOKUP(D63,Jobs!$A:$G,5,FALSE),"")</f>
        <v/>
      </c>
      <c r="L63" s="28">
        <f>IF(OR(J63="",K63=""),"",J63*K63)</f>
        <v/>
      </c>
      <c r="M63" s="28" t="n"/>
      <c r="N63" s="28" t="n"/>
      <c r="O63" s="28">
        <f>IF(L63="","",L63+M63-N63)</f>
        <v/>
      </c>
      <c r="Q63" s="29" t="n"/>
      <c r="R63" s="29" t="n"/>
    </row>
    <row r="64">
      <c r="C64">
        <f>IFERROR(VLOOKUP(B64,Workers!$A:$H,2,FALSE),"")</f>
        <v/>
      </c>
      <c r="E64">
        <f>IFERROR(VLOOKUP(D64,Jobs!$A:$G,2,FALSE),"")</f>
        <v/>
      </c>
      <c r="F64" s="25" t="n"/>
      <c r="G64" s="26" t="n"/>
      <c r="H64" s="26" t="n"/>
      <c r="J64" s="27">
        <f>IF(OR(G64="",H64=""),"",MAX(0,(H64-G64)*24-(I64/60)))</f>
        <v/>
      </c>
      <c r="K64" s="28">
        <f>IFERROR(VLOOKUP(D64,Jobs!$A:$G,5,FALSE),"")</f>
        <v/>
      </c>
      <c r="L64" s="28">
        <f>IF(OR(J64="",K64=""),"",J64*K64)</f>
        <v/>
      </c>
      <c r="M64" s="28" t="n"/>
      <c r="N64" s="28" t="n"/>
      <c r="O64" s="28">
        <f>IF(L64="","",L64+M64-N64)</f>
        <v/>
      </c>
      <c r="Q64" s="29" t="n"/>
      <c r="R64" s="29" t="n"/>
    </row>
    <row r="65">
      <c r="C65">
        <f>IFERROR(VLOOKUP(B65,Workers!$A:$H,2,FALSE),"")</f>
        <v/>
      </c>
      <c r="E65">
        <f>IFERROR(VLOOKUP(D65,Jobs!$A:$G,2,FALSE),"")</f>
        <v/>
      </c>
      <c r="F65" s="25" t="n"/>
      <c r="G65" s="26" t="n"/>
      <c r="H65" s="26" t="n"/>
      <c r="J65" s="27">
        <f>IF(OR(G65="",H65=""),"",MAX(0,(H65-G65)*24-(I65/60)))</f>
        <v/>
      </c>
      <c r="K65" s="28">
        <f>IFERROR(VLOOKUP(D65,Jobs!$A:$G,5,FALSE),"")</f>
        <v/>
      </c>
      <c r="L65" s="28">
        <f>IF(OR(J65="",K65=""),"",J65*K65)</f>
        <v/>
      </c>
      <c r="M65" s="28" t="n"/>
      <c r="N65" s="28" t="n"/>
      <c r="O65" s="28">
        <f>IF(L65="","",L65+M65-N65)</f>
        <v/>
      </c>
      <c r="Q65" s="29" t="n"/>
      <c r="R65" s="29" t="n"/>
    </row>
    <row r="66">
      <c r="C66">
        <f>IFERROR(VLOOKUP(B66,Workers!$A:$H,2,FALSE),"")</f>
        <v/>
      </c>
      <c r="E66">
        <f>IFERROR(VLOOKUP(D66,Jobs!$A:$G,2,FALSE),"")</f>
        <v/>
      </c>
      <c r="F66" s="25" t="n"/>
      <c r="G66" s="26" t="n"/>
      <c r="H66" s="26" t="n"/>
      <c r="J66" s="27">
        <f>IF(OR(G66="",H66=""),"",MAX(0,(H66-G66)*24-(I66/60)))</f>
        <v/>
      </c>
      <c r="K66" s="28">
        <f>IFERROR(VLOOKUP(D66,Jobs!$A:$G,5,FALSE),"")</f>
        <v/>
      </c>
      <c r="L66" s="28">
        <f>IF(OR(J66="",K66=""),"",J66*K66)</f>
        <v/>
      </c>
      <c r="M66" s="28" t="n"/>
      <c r="N66" s="28" t="n"/>
      <c r="O66" s="28">
        <f>IF(L66="","",L66+M66-N66)</f>
        <v/>
      </c>
      <c r="Q66" s="29" t="n"/>
      <c r="R66" s="29" t="n"/>
    </row>
    <row r="67">
      <c r="C67">
        <f>IFERROR(VLOOKUP(B67,Workers!$A:$H,2,FALSE),"")</f>
        <v/>
      </c>
      <c r="E67">
        <f>IFERROR(VLOOKUP(D67,Jobs!$A:$G,2,FALSE),"")</f>
        <v/>
      </c>
      <c r="F67" s="25" t="n"/>
      <c r="G67" s="26" t="n"/>
      <c r="H67" s="26" t="n"/>
      <c r="J67" s="27">
        <f>IF(OR(G67="",H67=""),"",MAX(0,(H67-G67)*24-(I67/60)))</f>
        <v/>
      </c>
      <c r="K67" s="28">
        <f>IFERROR(VLOOKUP(D67,Jobs!$A:$G,5,FALSE),"")</f>
        <v/>
      </c>
      <c r="L67" s="28">
        <f>IF(OR(J67="",K67=""),"",J67*K67)</f>
        <v/>
      </c>
      <c r="M67" s="28" t="n"/>
      <c r="N67" s="28" t="n"/>
      <c r="O67" s="28">
        <f>IF(L67="","",L67+M67-N67)</f>
        <v/>
      </c>
      <c r="Q67" s="29" t="n"/>
      <c r="R67" s="29" t="n"/>
    </row>
    <row r="68">
      <c r="C68">
        <f>IFERROR(VLOOKUP(B68,Workers!$A:$H,2,FALSE),"")</f>
        <v/>
      </c>
      <c r="E68">
        <f>IFERROR(VLOOKUP(D68,Jobs!$A:$G,2,FALSE),"")</f>
        <v/>
      </c>
      <c r="F68" s="25" t="n"/>
      <c r="G68" s="26" t="n"/>
      <c r="H68" s="26" t="n"/>
      <c r="J68" s="27">
        <f>IF(OR(G68="",H68=""),"",MAX(0,(H68-G68)*24-(I68/60)))</f>
        <v/>
      </c>
      <c r="K68" s="28">
        <f>IFERROR(VLOOKUP(D68,Jobs!$A:$G,5,FALSE),"")</f>
        <v/>
      </c>
      <c r="L68" s="28">
        <f>IF(OR(J68="",K68=""),"",J68*K68)</f>
        <v/>
      </c>
      <c r="M68" s="28" t="n"/>
      <c r="N68" s="28" t="n"/>
      <c r="O68" s="28">
        <f>IF(L68="","",L68+M68-N68)</f>
        <v/>
      </c>
      <c r="Q68" s="29" t="n"/>
      <c r="R68" s="29" t="n"/>
    </row>
    <row r="69">
      <c r="C69">
        <f>IFERROR(VLOOKUP(B69,Workers!$A:$H,2,FALSE),"")</f>
        <v/>
      </c>
      <c r="E69">
        <f>IFERROR(VLOOKUP(D69,Jobs!$A:$G,2,FALSE),"")</f>
        <v/>
      </c>
      <c r="F69" s="25" t="n"/>
      <c r="G69" s="26" t="n"/>
      <c r="H69" s="26" t="n"/>
      <c r="J69" s="27">
        <f>IF(OR(G69="",H69=""),"",MAX(0,(H69-G69)*24-(I69/60)))</f>
        <v/>
      </c>
      <c r="K69" s="28">
        <f>IFERROR(VLOOKUP(D69,Jobs!$A:$G,5,FALSE),"")</f>
        <v/>
      </c>
      <c r="L69" s="28">
        <f>IF(OR(J69="",K69=""),"",J69*K69)</f>
        <v/>
      </c>
      <c r="M69" s="28" t="n"/>
      <c r="N69" s="28" t="n"/>
      <c r="O69" s="28">
        <f>IF(L69="","",L69+M69-N69)</f>
        <v/>
      </c>
      <c r="Q69" s="29" t="n"/>
      <c r="R69" s="29" t="n"/>
    </row>
    <row r="70">
      <c r="C70">
        <f>IFERROR(VLOOKUP(B70,Workers!$A:$H,2,FALSE),"")</f>
        <v/>
      </c>
      <c r="E70">
        <f>IFERROR(VLOOKUP(D70,Jobs!$A:$G,2,FALSE),"")</f>
        <v/>
      </c>
      <c r="F70" s="25" t="n"/>
      <c r="G70" s="26" t="n"/>
      <c r="H70" s="26" t="n"/>
      <c r="J70" s="27">
        <f>IF(OR(G70="",H70=""),"",MAX(0,(H70-G70)*24-(I70/60)))</f>
        <v/>
      </c>
      <c r="K70" s="28">
        <f>IFERROR(VLOOKUP(D70,Jobs!$A:$G,5,FALSE),"")</f>
        <v/>
      </c>
      <c r="L70" s="28">
        <f>IF(OR(J70="",K70=""),"",J70*K70)</f>
        <v/>
      </c>
      <c r="M70" s="28" t="n"/>
      <c r="N70" s="28" t="n"/>
      <c r="O70" s="28">
        <f>IF(L70="","",L70+M70-N70)</f>
        <v/>
      </c>
      <c r="Q70" s="29" t="n"/>
      <c r="R70" s="29" t="n"/>
    </row>
    <row r="71">
      <c r="C71">
        <f>IFERROR(VLOOKUP(B71,Workers!$A:$H,2,FALSE),"")</f>
        <v/>
      </c>
      <c r="E71">
        <f>IFERROR(VLOOKUP(D71,Jobs!$A:$G,2,FALSE),"")</f>
        <v/>
      </c>
      <c r="F71" s="25" t="n"/>
      <c r="G71" s="26" t="n"/>
      <c r="H71" s="26" t="n"/>
      <c r="J71" s="27">
        <f>IF(OR(G71="",H71=""),"",MAX(0,(H71-G71)*24-(I71/60)))</f>
        <v/>
      </c>
      <c r="K71" s="28">
        <f>IFERROR(VLOOKUP(D71,Jobs!$A:$G,5,FALSE),"")</f>
        <v/>
      </c>
      <c r="L71" s="28">
        <f>IF(OR(J71="",K71=""),"",J71*K71)</f>
        <v/>
      </c>
      <c r="M71" s="28" t="n"/>
      <c r="N71" s="28" t="n"/>
      <c r="O71" s="28">
        <f>IF(L71="","",L71+M71-N71)</f>
        <v/>
      </c>
      <c r="Q71" s="29" t="n"/>
      <c r="R71" s="29" t="n"/>
    </row>
    <row r="72">
      <c r="C72">
        <f>IFERROR(VLOOKUP(B72,Workers!$A:$H,2,FALSE),"")</f>
        <v/>
      </c>
      <c r="E72">
        <f>IFERROR(VLOOKUP(D72,Jobs!$A:$G,2,FALSE),"")</f>
        <v/>
      </c>
      <c r="F72" s="25" t="n"/>
      <c r="G72" s="26" t="n"/>
      <c r="H72" s="26" t="n"/>
      <c r="J72" s="27">
        <f>IF(OR(G72="",H72=""),"",MAX(0,(H72-G72)*24-(I72/60)))</f>
        <v/>
      </c>
      <c r="K72" s="28">
        <f>IFERROR(VLOOKUP(D72,Jobs!$A:$G,5,FALSE),"")</f>
        <v/>
      </c>
      <c r="L72" s="28">
        <f>IF(OR(J72="",K72=""),"",J72*K72)</f>
        <v/>
      </c>
      <c r="M72" s="28" t="n"/>
      <c r="N72" s="28" t="n"/>
      <c r="O72" s="28">
        <f>IF(L72="","",L72+M72-N72)</f>
        <v/>
      </c>
      <c r="Q72" s="29" t="n"/>
      <c r="R72" s="29" t="n"/>
    </row>
    <row r="73">
      <c r="C73">
        <f>IFERROR(VLOOKUP(B73,Workers!$A:$H,2,FALSE),"")</f>
        <v/>
      </c>
      <c r="E73">
        <f>IFERROR(VLOOKUP(D73,Jobs!$A:$G,2,FALSE),"")</f>
        <v/>
      </c>
      <c r="F73" s="25" t="n"/>
      <c r="G73" s="26" t="n"/>
      <c r="H73" s="26" t="n"/>
      <c r="J73" s="27">
        <f>IF(OR(G73="",H73=""),"",MAX(0,(H73-G73)*24-(I73/60)))</f>
        <v/>
      </c>
      <c r="K73" s="28">
        <f>IFERROR(VLOOKUP(D73,Jobs!$A:$G,5,FALSE),"")</f>
        <v/>
      </c>
      <c r="L73" s="28">
        <f>IF(OR(J73="",K73=""),"",J73*K73)</f>
        <v/>
      </c>
      <c r="M73" s="28" t="n"/>
      <c r="N73" s="28" t="n"/>
      <c r="O73" s="28">
        <f>IF(L73="","",L73+M73-N73)</f>
        <v/>
      </c>
      <c r="Q73" s="29" t="n"/>
      <c r="R73" s="29" t="n"/>
    </row>
    <row r="74">
      <c r="C74">
        <f>IFERROR(VLOOKUP(B74,Workers!$A:$H,2,FALSE),"")</f>
        <v/>
      </c>
      <c r="E74">
        <f>IFERROR(VLOOKUP(D74,Jobs!$A:$G,2,FALSE),"")</f>
        <v/>
      </c>
      <c r="F74" s="25" t="n"/>
      <c r="G74" s="26" t="n"/>
      <c r="H74" s="26" t="n"/>
      <c r="J74" s="27">
        <f>IF(OR(G74="",H74=""),"",MAX(0,(H74-G74)*24-(I74/60)))</f>
        <v/>
      </c>
      <c r="K74" s="28">
        <f>IFERROR(VLOOKUP(D74,Jobs!$A:$G,5,FALSE),"")</f>
        <v/>
      </c>
      <c r="L74" s="28">
        <f>IF(OR(J74="",K74=""),"",J74*K74)</f>
        <v/>
      </c>
      <c r="M74" s="28" t="n"/>
      <c r="N74" s="28" t="n"/>
      <c r="O74" s="28">
        <f>IF(L74="","",L74+M74-N74)</f>
        <v/>
      </c>
      <c r="Q74" s="29" t="n"/>
      <c r="R74" s="29" t="n"/>
    </row>
    <row r="75">
      <c r="C75">
        <f>IFERROR(VLOOKUP(B75,Workers!$A:$H,2,FALSE),"")</f>
        <v/>
      </c>
      <c r="E75">
        <f>IFERROR(VLOOKUP(D75,Jobs!$A:$G,2,FALSE),"")</f>
        <v/>
      </c>
      <c r="F75" s="25" t="n"/>
      <c r="G75" s="26" t="n"/>
      <c r="H75" s="26" t="n"/>
      <c r="J75" s="27">
        <f>IF(OR(G75="",H75=""),"",MAX(0,(H75-G75)*24-(I75/60)))</f>
        <v/>
      </c>
      <c r="K75" s="28">
        <f>IFERROR(VLOOKUP(D75,Jobs!$A:$G,5,FALSE),"")</f>
        <v/>
      </c>
      <c r="L75" s="28">
        <f>IF(OR(J75="",K75=""),"",J75*K75)</f>
        <v/>
      </c>
      <c r="M75" s="28" t="n"/>
      <c r="N75" s="28" t="n"/>
      <c r="O75" s="28">
        <f>IF(L75="","",L75+M75-N75)</f>
        <v/>
      </c>
      <c r="Q75" s="29" t="n"/>
      <c r="R75" s="29" t="n"/>
    </row>
    <row r="76">
      <c r="C76">
        <f>IFERROR(VLOOKUP(B76,Workers!$A:$H,2,FALSE),"")</f>
        <v/>
      </c>
      <c r="E76">
        <f>IFERROR(VLOOKUP(D76,Jobs!$A:$G,2,FALSE),"")</f>
        <v/>
      </c>
      <c r="F76" s="25" t="n"/>
      <c r="G76" s="26" t="n"/>
      <c r="H76" s="26" t="n"/>
      <c r="J76" s="27">
        <f>IF(OR(G76="",H76=""),"",MAX(0,(H76-G76)*24-(I76/60)))</f>
        <v/>
      </c>
      <c r="K76" s="28">
        <f>IFERROR(VLOOKUP(D76,Jobs!$A:$G,5,FALSE),"")</f>
        <v/>
      </c>
      <c r="L76" s="28">
        <f>IF(OR(J76="",K76=""),"",J76*K76)</f>
        <v/>
      </c>
      <c r="M76" s="28" t="n"/>
      <c r="N76" s="28" t="n"/>
      <c r="O76" s="28">
        <f>IF(L76="","",L76+M76-N76)</f>
        <v/>
      </c>
      <c r="Q76" s="29" t="n"/>
      <c r="R76" s="29" t="n"/>
    </row>
    <row r="77">
      <c r="C77">
        <f>IFERROR(VLOOKUP(B77,Workers!$A:$H,2,FALSE),"")</f>
        <v/>
      </c>
      <c r="E77">
        <f>IFERROR(VLOOKUP(D77,Jobs!$A:$G,2,FALSE),"")</f>
        <v/>
      </c>
      <c r="F77" s="25" t="n"/>
      <c r="G77" s="26" t="n"/>
      <c r="H77" s="26" t="n"/>
      <c r="J77" s="27">
        <f>IF(OR(G77="",H77=""),"",MAX(0,(H77-G77)*24-(I77/60)))</f>
        <v/>
      </c>
      <c r="K77" s="28">
        <f>IFERROR(VLOOKUP(D77,Jobs!$A:$G,5,FALSE),"")</f>
        <v/>
      </c>
      <c r="L77" s="28">
        <f>IF(OR(J77="",K77=""),"",J77*K77)</f>
        <v/>
      </c>
      <c r="M77" s="28" t="n"/>
      <c r="N77" s="28" t="n"/>
      <c r="O77" s="28">
        <f>IF(L77="","",L77+M77-N77)</f>
        <v/>
      </c>
      <c r="Q77" s="29" t="n"/>
      <c r="R77" s="29" t="n"/>
    </row>
    <row r="78">
      <c r="C78">
        <f>IFERROR(VLOOKUP(B78,Workers!$A:$H,2,FALSE),"")</f>
        <v/>
      </c>
      <c r="E78">
        <f>IFERROR(VLOOKUP(D78,Jobs!$A:$G,2,FALSE),"")</f>
        <v/>
      </c>
      <c r="F78" s="25" t="n"/>
      <c r="G78" s="26" t="n"/>
      <c r="H78" s="26" t="n"/>
      <c r="J78" s="27">
        <f>IF(OR(G78="",H78=""),"",MAX(0,(H78-G78)*24-(I78/60)))</f>
        <v/>
      </c>
      <c r="K78" s="28">
        <f>IFERROR(VLOOKUP(D78,Jobs!$A:$G,5,FALSE),"")</f>
        <v/>
      </c>
      <c r="L78" s="28">
        <f>IF(OR(J78="",K78=""),"",J78*K78)</f>
        <v/>
      </c>
      <c r="M78" s="28" t="n"/>
      <c r="N78" s="28" t="n"/>
      <c r="O78" s="28">
        <f>IF(L78="","",L78+M78-N78)</f>
        <v/>
      </c>
      <c r="Q78" s="29" t="n"/>
      <c r="R78" s="29" t="n"/>
    </row>
    <row r="79">
      <c r="C79">
        <f>IFERROR(VLOOKUP(B79,Workers!$A:$H,2,FALSE),"")</f>
        <v/>
      </c>
      <c r="E79">
        <f>IFERROR(VLOOKUP(D79,Jobs!$A:$G,2,FALSE),"")</f>
        <v/>
      </c>
      <c r="F79" s="25" t="n"/>
      <c r="G79" s="26" t="n"/>
      <c r="H79" s="26" t="n"/>
      <c r="J79" s="27">
        <f>IF(OR(G79="",H79=""),"",MAX(0,(H79-G79)*24-(I79/60)))</f>
        <v/>
      </c>
      <c r="K79" s="28">
        <f>IFERROR(VLOOKUP(D79,Jobs!$A:$G,5,FALSE),"")</f>
        <v/>
      </c>
      <c r="L79" s="28">
        <f>IF(OR(J79="",K79=""),"",J79*K79)</f>
        <v/>
      </c>
      <c r="M79" s="28" t="n"/>
      <c r="N79" s="28" t="n"/>
      <c r="O79" s="28">
        <f>IF(L79="","",L79+M79-N79)</f>
        <v/>
      </c>
      <c r="Q79" s="29" t="n"/>
      <c r="R79" s="29" t="n"/>
    </row>
    <row r="80">
      <c r="C80">
        <f>IFERROR(VLOOKUP(B80,Workers!$A:$H,2,FALSE),"")</f>
        <v/>
      </c>
      <c r="E80">
        <f>IFERROR(VLOOKUP(D80,Jobs!$A:$G,2,FALSE),"")</f>
        <v/>
      </c>
      <c r="F80" s="25" t="n"/>
      <c r="G80" s="26" t="n"/>
      <c r="H80" s="26" t="n"/>
      <c r="J80" s="27">
        <f>IF(OR(G80="",H80=""),"",MAX(0,(H80-G80)*24-(I80/60)))</f>
        <v/>
      </c>
      <c r="K80" s="28">
        <f>IFERROR(VLOOKUP(D80,Jobs!$A:$G,5,FALSE),"")</f>
        <v/>
      </c>
      <c r="L80" s="28">
        <f>IF(OR(J80="",K80=""),"",J80*K80)</f>
        <v/>
      </c>
      <c r="M80" s="28" t="n"/>
      <c r="N80" s="28" t="n"/>
      <c r="O80" s="28">
        <f>IF(L80="","",L80+M80-N80)</f>
        <v/>
      </c>
      <c r="Q80" s="29" t="n"/>
      <c r="R80" s="29" t="n"/>
    </row>
    <row r="81">
      <c r="C81">
        <f>IFERROR(VLOOKUP(B81,Workers!$A:$H,2,FALSE),"")</f>
        <v/>
      </c>
      <c r="E81">
        <f>IFERROR(VLOOKUP(D81,Jobs!$A:$G,2,FALSE),"")</f>
        <v/>
      </c>
      <c r="F81" s="25" t="n"/>
      <c r="G81" s="26" t="n"/>
      <c r="H81" s="26" t="n"/>
      <c r="J81" s="27">
        <f>IF(OR(G81="",H81=""),"",MAX(0,(H81-G81)*24-(I81/60)))</f>
        <v/>
      </c>
      <c r="K81" s="28">
        <f>IFERROR(VLOOKUP(D81,Jobs!$A:$G,5,FALSE),"")</f>
        <v/>
      </c>
      <c r="L81" s="28">
        <f>IF(OR(J81="",K81=""),"",J81*K81)</f>
        <v/>
      </c>
      <c r="M81" s="28" t="n"/>
      <c r="N81" s="28" t="n"/>
      <c r="O81" s="28">
        <f>IF(L81="","",L81+M81-N81)</f>
        <v/>
      </c>
      <c r="Q81" s="29" t="n"/>
      <c r="R81" s="29" t="n"/>
    </row>
    <row r="82">
      <c r="C82">
        <f>IFERROR(VLOOKUP(B82,Workers!$A:$H,2,FALSE),"")</f>
        <v/>
      </c>
      <c r="E82">
        <f>IFERROR(VLOOKUP(D82,Jobs!$A:$G,2,FALSE),"")</f>
        <v/>
      </c>
      <c r="F82" s="25" t="n"/>
      <c r="G82" s="26" t="n"/>
      <c r="H82" s="26" t="n"/>
      <c r="J82" s="27">
        <f>IF(OR(G82="",H82=""),"",MAX(0,(H82-G82)*24-(I82/60)))</f>
        <v/>
      </c>
      <c r="K82" s="28">
        <f>IFERROR(VLOOKUP(D82,Jobs!$A:$G,5,FALSE),"")</f>
        <v/>
      </c>
      <c r="L82" s="28">
        <f>IF(OR(J82="",K82=""),"",J82*K82)</f>
        <v/>
      </c>
      <c r="M82" s="28" t="n"/>
      <c r="N82" s="28" t="n"/>
      <c r="O82" s="28">
        <f>IF(L82="","",L82+M82-N82)</f>
        <v/>
      </c>
      <c r="Q82" s="29" t="n"/>
      <c r="R82" s="29" t="n"/>
    </row>
    <row r="83">
      <c r="C83">
        <f>IFERROR(VLOOKUP(B83,Workers!$A:$H,2,FALSE),"")</f>
        <v/>
      </c>
      <c r="E83">
        <f>IFERROR(VLOOKUP(D83,Jobs!$A:$G,2,FALSE),"")</f>
        <v/>
      </c>
      <c r="F83" s="25" t="n"/>
      <c r="G83" s="26" t="n"/>
      <c r="H83" s="26" t="n"/>
      <c r="J83" s="27">
        <f>IF(OR(G83="",H83=""),"",MAX(0,(H83-G83)*24-(I83/60)))</f>
        <v/>
      </c>
      <c r="K83" s="28">
        <f>IFERROR(VLOOKUP(D83,Jobs!$A:$G,5,FALSE),"")</f>
        <v/>
      </c>
      <c r="L83" s="28">
        <f>IF(OR(J83="",K83=""),"",J83*K83)</f>
        <v/>
      </c>
      <c r="M83" s="28" t="n"/>
      <c r="N83" s="28" t="n"/>
      <c r="O83" s="28">
        <f>IF(L83="","",L83+M83-N83)</f>
        <v/>
      </c>
      <c r="Q83" s="29" t="n"/>
      <c r="R83" s="29" t="n"/>
    </row>
    <row r="84">
      <c r="C84">
        <f>IFERROR(VLOOKUP(B84,Workers!$A:$H,2,FALSE),"")</f>
        <v/>
      </c>
      <c r="E84">
        <f>IFERROR(VLOOKUP(D84,Jobs!$A:$G,2,FALSE),"")</f>
        <v/>
      </c>
      <c r="F84" s="25" t="n"/>
      <c r="G84" s="26" t="n"/>
      <c r="H84" s="26" t="n"/>
      <c r="J84" s="27">
        <f>IF(OR(G84="",H84=""),"",MAX(0,(H84-G84)*24-(I84/60)))</f>
        <v/>
      </c>
      <c r="K84" s="28">
        <f>IFERROR(VLOOKUP(D84,Jobs!$A:$G,5,FALSE),"")</f>
        <v/>
      </c>
      <c r="L84" s="28">
        <f>IF(OR(J84="",K84=""),"",J84*K84)</f>
        <v/>
      </c>
      <c r="M84" s="28" t="n"/>
      <c r="N84" s="28" t="n"/>
      <c r="O84" s="28">
        <f>IF(L84="","",L84+M84-N84)</f>
        <v/>
      </c>
      <c r="Q84" s="29" t="n"/>
      <c r="R84" s="29" t="n"/>
    </row>
    <row r="85">
      <c r="C85">
        <f>IFERROR(VLOOKUP(B85,Workers!$A:$H,2,FALSE),"")</f>
        <v/>
      </c>
      <c r="E85">
        <f>IFERROR(VLOOKUP(D85,Jobs!$A:$G,2,FALSE),"")</f>
        <v/>
      </c>
      <c r="F85" s="25" t="n"/>
      <c r="G85" s="26" t="n"/>
      <c r="H85" s="26" t="n"/>
      <c r="J85" s="27">
        <f>IF(OR(G85="",H85=""),"",MAX(0,(H85-G85)*24-(I85/60)))</f>
        <v/>
      </c>
      <c r="K85" s="28">
        <f>IFERROR(VLOOKUP(D85,Jobs!$A:$G,5,FALSE),"")</f>
        <v/>
      </c>
      <c r="L85" s="28">
        <f>IF(OR(J85="",K85=""),"",J85*K85)</f>
        <v/>
      </c>
      <c r="M85" s="28" t="n"/>
      <c r="N85" s="28" t="n"/>
      <c r="O85" s="28">
        <f>IF(L85="","",L85+M85-N85)</f>
        <v/>
      </c>
      <c r="Q85" s="29" t="n"/>
      <c r="R85" s="29" t="n"/>
    </row>
    <row r="86">
      <c r="C86">
        <f>IFERROR(VLOOKUP(B86,Workers!$A:$H,2,FALSE),"")</f>
        <v/>
      </c>
      <c r="E86">
        <f>IFERROR(VLOOKUP(D86,Jobs!$A:$G,2,FALSE),"")</f>
        <v/>
      </c>
      <c r="F86" s="25" t="n"/>
      <c r="G86" s="26" t="n"/>
      <c r="H86" s="26" t="n"/>
      <c r="J86" s="27">
        <f>IF(OR(G86="",H86=""),"",MAX(0,(H86-G86)*24-(I86/60)))</f>
        <v/>
      </c>
      <c r="K86" s="28">
        <f>IFERROR(VLOOKUP(D86,Jobs!$A:$G,5,FALSE),"")</f>
        <v/>
      </c>
      <c r="L86" s="28">
        <f>IF(OR(J86="",K86=""),"",J86*K86)</f>
        <v/>
      </c>
      <c r="M86" s="28" t="n"/>
      <c r="N86" s="28" t="n"/>
      <c r="O86" s="28">
        <f>IF(L86="","",L86+M86-N86)</f>
        <v/>
      </c>
      <c r="Q86" s="29" t="n"/>
      <c r="R86" s="29" t="n"/>
    </row>
    <row r="87">
      <c r="C87">
        <f>IFERROR(VLOOKUP(B87,Workers!$A:$H,2,FALSE),"")</f>
        <v/>
      </c>
      <c r="E87">
        <f>IFERROR(VLOOKUP(D87,Jobs!$A:$G,2,FALSE),"")</f>
        <v/>
      </c>
      <c r="F87" s="25" t="n"/>
      <c r="G87" s="26" t="n"/>
      <c r="H87" s="26" t="n"/>
      <c r="J87" s="27">
        <f>IF(OR(G87="",H87=""),"",MAX(0,(H87-G87)*24-(I87/60)))</f>
        <v/>
      </c>
      <c r="K87" s="28">
        <f>IFERROR(VLOOKUP(D87,Jobs!$A:$G,5,FALSE),"")</f>
        <v/>
      </c>
      <c r="L87" s="28">
        <f>IF(OR(J87="",K87=""),"",J87*K87)</f>
        <v/>
      </c>
      <c r="M87" s="28" t="n"/>
      <c r="N87" s="28" t="n"/>
      <c r="O87" s="28">
        <f>IF(L87="","",L87+M87-N87)</f>
        <v/>
      </c>
      <c r="Q87" s="29" t="n"/>
      <c r="R87" s="29" t="n"/>
    </row>
    <row r="88">
      <c r="C88">
        <f>IFERROR(VLOOKUP(B88,Workers!$A:$H,2,FALSE),"")</f>
        <v/>
      </c>
      <c r="E88">
        <f>IFERROR(VLOOKUP(D88,Jobs!$A:$G,2,FALSE),"")</f>
        <v/>
      </c>
      <c r="F88" s="25" t="n"/>
      <c r="G88" s="26" t="n"/>
      <c r="H88" s="26" t="n"/>
      <c r="J88" s="27">
        <f>IF(OR(G88="",H88=""),"",MAX(0,(H88-G88)*24-(I88/60)))</f>
        <v/>
      </c>
      <c r="K88" s="28">
        <f>IFERROR(VLOOKUP(D88,Jobs!$A:$G,5,FALSE),"")</f>
        <v/>
      </c>
      <c r="L88" s="28">
        <f>IF(OR(J88="",K88=""),"",J88*K88)</f>
        <v/>
      </c>
      <c r="M88" s="28" t="n"/>
      <c r="N88" s="28" t="n"/>
      <c r="O88" s="28">
        <f>IF(L88="","",L88+M88-N88)</f>
        <v/>
      </c>
      <c r="Q88" s="29" t="n"/>
      <c r="R88" s="29" t="n"/>
    </row>
    <row r="89">
      <c r="C89">
        <f>IFERROR(VLOOKUP(B89,Workers!$A:$H,2,FALSE),"")</f>
        <v/>
      </c>
      <c r="E89">
        <f>IFERROR(VLOOKUP(D89,Jobs!$A:$G,2,FALSE),"")</f>
        <v/>
      </c>
      <c r="F89" s="25" t="n"/>
      <c r="G89" s="26" t="n"/>
      <c r="H89" s="26" t="n"/>
      <c r="J89" s="27">
        <f>IF(OR(G89="",H89=""),"",MAX(0,(H89-G89)*24-(I89/60)))</f>
        <v/>
      </c>
      <c r="K89" s="28">
        <f>IFERROR(VLOOKUP(D89,Jobs!$A:$G,5,FALSE),"")</f>
        <v/>
      </c>
      <c r="L89" s="28">
        <f>IF(OR(J89="",K89=""),"",J89*K89)</f>
        <v/>
      </c>
      <c r="M89" s="28" t="n"/>
      <c r="N89" s="28" t="n"/>
      <c r="O89" s="28">
        <f>IF(L89="","",L89+M89-N89)</f>
        <v/>
      </c>
      <c r="Q89" s="29" t="n"/>
      <c r="R89" s="29" t="n"/>
    </row>
    <row r="90">
      <c r="C90">
        <f>IFERROR(VLOOKUP(B90,Workers!$A:$H,2,FALSE),"")</f>
        <v/>
      </c>
      <c r="E90">
        <f>IFERROR(VLOOKUP(D90,Jobs!$A:$G,2,FALSE),"")</f>
        <v/>
      </c>
      <c r="F90" s="25" t="n"/>
      <c r="G90" s="26" t="n"/>
      <c r="H90" s="26" t="n"/>
      <c r="J90" s="27">
        <f>IF(OR(G90="",H90=""),"",MAX(0,(H90-G90)*24-(I90/60)))</f>
        <v/>
      </c>
      <c r="K90" s="28">
        <f>IFERROR(VLOOKUP(D90,Jobs!$A:$G,5,FALSE),"")</f>
        <v/>
      </c>
      <c r="L90" s="28">
        <f>IF(OR(J90="",K90=""),"",J90*K90)</f>
        <v/>
      </c>
      <c r="M90" s="28" t="n"/>
      <c r="N90" s="28" t="n"/>
      <c r="O90" s="28">
        <f>IF(L90="","",L90+M90-N90)</f>
        <v/>
      </c>
      <c r="Q90" s="29" t="n"/>
      <c r="R90" s="29" t="n"/>
    </row>
    <row r="91">
      <c r="C91">
        <f>IFERROR(VLOOKUP(B91,Workers!$A:$H,2,FALSE),"")</f>
        <v/>
      </c>
      <c r="E91">
        <f>IFERROR(VLOOKUP(D91,Jobs!$A:$G,2,FALSE),"")</f>
        <v/>
      </c>
      <c r="F91" s="25" t="n"/>
      <c r="G91" s="26" t="n"/>
      <c r="H91" s="26" t="n"/>
      <c r="J91" s="27">
        <f>IF(OR(G91="",H91=""),"",MAX(0,(H91-G91)*24-(I91/60)))</f>
        <v/>
      </c>
      <c r="K91" s="28">
        <f>IFERROR(VLOOKUP(D91,Jobs!$A:$G,5,FALSE),"")</f>
        <v/>
      </c>
      <c r="L91" s="28">
        <f>IF(OR(J91="",K91=""),"",J91*K91)</f>
        <v/>
      </c>
      <c r="M91" s="28" t="n"/>
      <c r="N91" s="28" t="n"/>
      <c r="O91" s="28">
        <f>IF(L91="","",L91+M91-N91)</f>
        <v/>
      </c>
      <c r="Q91" s="29" t="n"/>
      <c r="R91" s="29" t="n"/>
    </row>
    <row r="92">
      <c r="C92">
        <f>IFERROR(VLOOKUP(B92,Workers!$A:$H,2,FALSE),"")</f>
        <v/>
      </c>
      <c r="E92">
        <f>IFERROR(VLOOKUP(D92,Jobs!$A:$G,2,FALSE),"")</f>
        <v/>
      </c>
      <c r="F92" s="25" t="n"/>
      <c r="G92" s="26" t="n"/>
      <c r="H92" s="26" t="n"/>
      <c r="J92" s="27">
        <f>IF(OR(G92="",H92=""),"",MAX(0,(H92-G92)*24-(I92/60)))</f>
        <v/>
      </c>
      <c r="K92" s="28">
        <f>IFERROR(VLOOKUP(D92,Jobs!$A:$G,5,FALSE),"")</f>
        <v/>
      </c>
      <c r="L92" s="28">
        <f>IF(OR(J92="",K92=""),"",J92*K92)</f>
        <v/>
      </c>
      <c r="M92" s="28" t="n"/>
      <c r="N92" s="28" t="n"/>
      <c r="O92" s="28">
        <f>IF(L92="","",L92+M92-N92)</f>
        <v/>
      </c>
      <c r="Q92" s="29" t="n"/>
      <c r="R92" s="29" t="n"/>
    </row>
    <row r="93">
      <c r="C93">
        <f>IFERROR(VLOOKUP(B93,Workers!$A:$H,2,FALSE),"")</f>
        <v/>
      </c>
      <c r="E93">
        <f>IFERROR(VLOOKUP(D93,Jobs!$A:$G,2,FALSE),"")</f>
        <v/>
      </c>
      <c r="F93" s="25" t="n"/>
      <c r="G93" s="26" t="n"/>
      <c r="H93" s="26" t="n"/>
      <c r="J93" s="27">
        <f>IF(OR(G93="",H93=""),"",MAX(0,(H93-G93)*24-(I93/60)))</f>
        <v/>
      </c>
      <c r="K93" s="28">
        <f>IFERROR(VLOOKUP(D93,Jobs!$A:$G,5,FALSE),"")</f>
        <v/>
      </c>
      <c r="L93" s="28">
        <f>IF(OR(J93="",K93=""),"",J93*K93)</f>
        <v/>
      </c>
      <c r="M93" s="28" t="n"/>
      <c r="N93" s="28" t="n"/>
      <c r="O93" s="28">
        <f>IF(L93="","",L93+M93-N93)</f>
        <v/>
      </c>
      <c r="Q93" s="29" t="n"/>
      <c r="R93" s="29" t="n"/>
    </row>
    <row r="94">
      <c r="C94">
        <f>IFERROR(VLOOKUP(B94,Workers!$A:$H,2,FALSE),"")</f>
        <v/>
      </c>
      <c r="E94">
        <f>IFERROR(VLOOKUP(D94,Jobs!$A:$G,2,FALSE),"")</f>
        <v/>
      </c>
      <c r="F94" s="25" t="n"/>
      <c r="G94" s="26" t="n"/>
      <c r="H94" s="26" t="n"/>
      <c r="J94" s="27">
        <f>IF(OR(G94="",H94=""),"",MAX(0,(H94-G94)*24-(I94/60)))</f>
        <v/>
      </c>
      <c r="K94" s="28">
        <f>IFERROR(VLOOKUP(D94,Jobs!$A:$G,5,FALSE),"")</f>
        <v/>
      </c>
      <c r="L94" s="28">
        <f>IF(OR(J94="",K94=""),"",J94*K94)</f>
        <v/>
      </c>
      <c r="M94" s="28" t="n"/>
      <c r="N94" s="28" t="n"/>
      <c r="O94" s="28">
        <f>IF(L94="","",L94+M94-N94)</f>
        <v/>
      </c>
      <c r="Q94" s="29" t="n"/>
      <c r="R94" s="29" t="n"/>
    </row>
    <row r="95">
      <c r="C95">
        <f>IFERROR(VLOOKUP(B95,Workers!$A:$H,2,FALSE),"")</f>
        <v/>
      </c>
      <c r="E95">
        <f>IFERROR(VLOOKUP(D95,Jobs!$A:$G,2,FALSE),"")</f>
        <v/>
      </c>
      <c r="F95" s="25" t="n"/>
      <c r="G95" s="26" t="n"/>
      <c r="H95" s="26" t="n"/>
      <c r="J95" s="27">
        <f>IF(OR(G95="",H95=""),"",MAX(0,(H95-G95)*24-(I95/60)))</f>
        <v/>
      </c>
      <c r="K95" s="28">
        <f>IFERROR(VLOOKUP(D95,Jobs!$A:$G,5,FALSE),"")</f>
        <v/>
      </c>
      <c r="L95" s="28">
        <f>IF(OR(J95="",K95=""),"",J95*K95)</f>
        <v/>
      </c>
      <c r="M95" s="28" t="n"/>
      <c r="N95" s="28" t="n"/>
      <c r="O95" s="28">
        <f>IF(L95="","",L95+M95-N95)</f>
        <v/>
      </c>
      <c r="Q95" s="29" t="n"/>
      <c r="R95" s="29" t="n"/>
    </row>
    <row r="96">
      <c r="C96">
        <f>IFERROR(VLOOKUP(B96,Workers!$A:$H,2,FALSE),"")</f>
        <v/>
      </c>
      <c r="E96">
        <f>IFERROR(VLOOKUP(D96,Jobs!$A:$G,2,FALSE),"")</f>
        <v/>
      </c>
      <c r="F96" s="25" t="n"/>
      <c r="G96" s="26" t="n"/>
      <c r="H96" s="26" t="n"/>
      <c r="J96" s="27">
        <f>IF(OR(G96="",H96=""),"",MAX(0,(H96-G96)*24-(I96/60)))</f>
        <v/>
      </c>
      <c r="K96" s="28">
        <f>IFERROR(VLOOKUP(D96,Jobs!$A:$G,5,FALSE),"")</f>
        <v/>
      </c>
      <c r="L96" s="28">
        <f>IF(OR(J96="",K96=""),"",J96*K96)</f>
        <v/>
      </c>
      <c r="M96" s="28" t="n"/>
      <c r="N96" s="28" t="n"/>
      <c r="O96" s="28">
        <f>IF(L96="","",L96+M96-N96)</f>
        <v/>
      </c>
      <c r="Q96" s="29" t="n"/>
      <c r="R96" s="29" t="n"/>
    </row>
    <row r="97">
      <c r="C97">
        <f>IFERROR(VLOOKUP(B97,Workers!$A:$H,2,FALSE),"")</f>
        <v/>
      </c>
      <c r="E97">
        <f>IFERROR(VLOOKUP(D97,Jobs!$A:$G,2,FALSE),"")</f>
        <v/>
      </c>
      <c r="F97" s="25" t="n"/>
      <c r="G97" s="26" t="n"/>
      <c r="H97" s="26" t="n"/>
      <c r="J97" s="27">
        <f>IF(OR(G97="",H97=""),"",MAX(0,(H97-G97)*24-(I97/60)))</f>
        <v/>
      </c>
      <c r="K97" s="28">
        <f>IFERROR(VLOOKUP(D97,Jobs!$A:$G,5,FALSE),"")</f>
        <v/>
      </c>
      <c r="L97" s="28">
        <f>IF(OR(J97="",K97=""),"",J97*K97)</f>
        <v/>
      </c>
      <c r="M97" s="28" t="n"/>
      <c r="N97" s="28" t="n"/>
      <c r="O97" s="28">
        <f>IF(L97="","",L97+M97-N97)</f>
        <v/>
      </c>
      <c r="Q97" s="29" t="n"/>
      <c r="R97" s="29" t="n"/>
    </row>
    <row r="98">
      <c r="C98">
        <f>IFERROR(VLOOKUP(B98,Workers!$A:$H,2,FALSE),"")</f>
        <v/>
      </c>
      <c r="E98">
        <f>IFERROR(VLOOKUP(D98,Jobs!$A:$G,2,FALSE),"")</f>
        <v/>
      </c>
      <c r="F98" s="25" t="n"/>
      <c r="G98" s="26" t="n"/>
      <c r="H98" s="26" t="n"/>
      <c r="J98" s="27">
        <f>IF(OR(G98="",H98=""),"",MAX(0,(H98-G98)*24-(I98/60)))</f>
        <v/>
      </c>
      <c r="K98" s="28">
        <f>IFERROR(VLOOKUP(D98,Jobs!$A:$G,5,FALSE),"")</f>
        <v/>
      </c>
      <c r="L98" s="28">
        <f>IF(OR(J98="",K98=""),"",J98*K98)</f>
        <v/>
      </c>
      <c r="M98" s="28" t="n"/>
      <c r="N98" s="28" t="n"/>
      <c r="O98" s="28">
        <f>IF(L98="","",L98+M98-N98)</f>
        <v/>
      </c>
      <c r="Q98" s="29" t="n"/>
      <c r="R98" s="29" t="n"/>
    </row>
    <row r="99">
      <c r="C99">
        <f>IFERROR(VLOOKUP(B99,Workers!$A:$H,2,FALSE),"")</f>
        <v/>
      </c>
      <c r="E99">
        <f>IFERROR(VLOOKUP(D99,Jobs!$A:$G,2,FALSE),"")</f>
        <v/>
      </c>
      <c r="F99" s="25" t="n"/>
      <c r="G99" s="26" t="n"/>
      <c r="H99" s="26" t="n"/>
      <c r="J99" s="27">
        <f>IF(OR(G99="",H99=""),"",MAX(0,(H99-G99)*24-(I99/60)))</f>
        <v/>
      </c>
      <c r="K99" s="28">
        <f>IFERROR(VLOOKUP(D99,Jobs!$A:$G,5,FALSE),"")</f>
        <v/>
      </c>
      <c r="L99" s="28">
        <f>IF(OR(J99="",K99=""),"",J99*K99)</f>
        <v/>
      </c>
      <c r="M99" s="28" t="n"/>
      <c r="N99" s="28" t="n"/>
      <c r="O99" s="28">
        <f>IF(L99="","",L99+M99-N99)</f>
        <v/>
      </c>
      <c r="Q99" s="29" t="n"/>
      <c r="R99" s="29" t="n"/>
    </row>
    <row r="100">
      <c r="C100">
        <f>IFERROR(VLOOKUP(B100,Workers!$A:$H,2,FALSE),"")</f>
        <v/>
      </c>
      <c r="E100">
        <f>IFERROR(VLOOKUP(D100,Jobs!$A:$G,2,FALSE),"")</f>
        <v/>
      </c>
      <c r="F100" s="25" t="n"/>
      <c r="G100" s="26" t="n"/>
      <c r="H100" s="26" t="n"/>
      <c r="J100" s="27">
        <f>IF(OR(G100="",H100=""),"",MAX(0,(H100-G100)*24-(I100/60)))</f>
        <v/>
      </c>
      <c r="K100" s="28">
        <f>IFERROR(VLOOKUP(D100,Jobs!$A:$G,5,FALSE),"")</f>
        <v/>
      </c>
      <c r="L100" s="28">
        <f>IF(OR(J100="",K100=""),"",J100*K100)</f>
        <v/>
      </c>
      <c r="M100" s="28" t="n"/>
      <c r="N100" s="28" t="n"/>
      <c r="O100" s="28">
        <f>IF(L100="","",L100+M100-N100)</f>
        <v/>
      </c>
      <c r="Q100" s="29" t="n"/>
      <c r="R100" s="29" t="n"/>
    </row>
    <row r="101">
      <c r="C101">
        <f>IFERROR(VLOOKUP(B101,Workers!$A:$H,2,FALSE),"")</f>
        <v/>
      </c>
      <c r="E101">
        <f>IFERROR(VLOOKUP(D101,Jobs!$A:$G,2,FALSE),"")</f>
        <v/>
      </c>
      <c r="F101" s="25" t="n"/>
      <c r="G101" s="26" t="n"/>
      <c r="H101" s="26" t="n"/>
      <c r="J101" s="27">
        <f>IF(OR(G101="",H101=""),"",MAX(0,(H101-G101)*24-(I101/60)))</f>
        <v/>
      </c>
      <c r="K101" s="28">
        <f>IFERROR(VLOOKUP(D101,Jobs!$A:$G,5,FALSE),"")</f>
        <v/>
      </c>
      <c r="L101" s="28">
        <f>IF(OR(J101="",K101=""),"",J101*K101)</f>
        <v/>
      </c>
      <c r="M101" s="28" t="n"/>
      <c r="N101" s="28" t="n"/>
      <c r="O101" s="28">
        <f>IF(L101="","",L101+M101-N101)</f>
        <v/>
      </c>
      <c r="Q101" s="29" t="n"/>
      <c r="R101" s="29" t="n"/>
    </row>
    <row r="102">
      <c r="C102">
        <f>IFERROR(VLOOKUP(B102,Workers!$A:$H,2,FALSE),"")</f>
        <v/>
      </c>
      <c r="E102">
        <f>IFERROR(VLOOKUP(D102,Jobs!$A:$G,2,FALSE),"")</f>
        <v/>
      </c>
      <c r="F102" s="25" t="n"/>
      <c r="G102" s="26" t="n"/>
      <c r="H102" s="26" t="n"/>
      <c r="J102" s="27">
        <f>IF(OR(G102="",H102=""),"",MAX(0,(H102-G102)*24-(I102/60)))</f>
        <v/>
      </c>
      <c r="K102" s="28">
        <f>IFERROR(VLOOKUP(D102,Jobs!$A:$G,5,FALSE),"")</f>
        <v/>
      </c>
      <c r="L102" s="28">
        <f>IF(OR(J102="",K102=""),"",J102*K102)</f>
        <v/>
      </c>
      <c r="M102" s="28" t="n"/>
      <c r="N102" s="28" t="n"/>
      <c r="O102" s="28">
        <f>IF(L102="","",L102+M102-N102)</f>
        <v/>
      </c>
      <c r="Q102" s="29" t="n"/>
      <c r="R102" s="29" t="n"/>
    </row>
    <row r="103">
      <c r="C103">
        <f>IFERROR(VLOOKUP(B103,Workers!$A:$H,2,FALSE),"")</f>
        <v/>
      </c>
      <c r="E103">
        <f>IFERROR(VLOOKUP(D103,Jobs!$A:$G,2,FALSE),"")</f>
        <v/>
      </c>
      <c r="F103" s="25" t="n"/>
      <c r="G103" s="26" t="n"/>
      <c r="H103" s="26" t="n"/>
      <c r="J103" s="27">
        <f>IF(OR(G103="",H103=""),"",MAX(0,(H103-G103)*24-(I103/60)))</f>
        <v/>
      </c>
      <c r="K103" s="28">
        <f>IFERROR(VLOOKUP(D103,Jobs!$A:$G,5,FALSE),"")</f>
        <v/>
      </c>
      <c r="L103" s="28">
        <f>IF(OR(J103="",K103=""),"",J103*K103)</f>
        <v/>
      </c>
      <c r="M103" s="28" t="n"/>
      <c r="N103" s="28" t="n"/>
      <c r="O103" s="28">
        <f>IF(L103="","",L103+M103-N103)</f>
        <v/>
      </c>
      <c r="Q103" s="29" t="n"/>
      <c r="R103" s="29" t="n"/>
    </row>
    <row r="104">
      <c r="C104">
        <f>IFERROR(VLOOKUP(B104,Workers!$A:$H,2,FALSE),"")</f>
        <v/>
      </c>
      <c r="E104">
        <f>IFERROR(VLOOKUP(D104,Jobs!$A:$G,2,FALSE),"")</f>
        <v/>
      </c>
      <c r="F104" s="25" t="n"/>
      <c r="G104" s="26" t="n"/>
      <c r="H104" s="26" t="n"/>
      <c r="J104" s="27">
        <f>IF(OR(G104="",H104=""),"",MAX(0,(H104-G104)*24-(I104/60)))</f>
        <v/>
      </c>
      <c r="K104" s="28">
        <f>IFERROR(VLOOKUP(D104,Jobs!$A:$G,5,FALSE),"")</f>
        <v/>
      </c>
      <c r="L104" s="28">
        <f>IF(OR(J104="",K104=""),"",J104*K104)</f>
        <v/>
      </c>
      <c r="M104" s="28" t="n"/>
      <c r="N104" s="28" t="n"/>
      <c r="O104" s="28">
        <f>IF(L104="","",L104+M104-N104)</f>
        <v/>
      </c>
      <c r="Q104" s="29" t="n"/>
      <c r="R104" s="29" t="n"/>
    </row>
    <row r="105">
      <c r="C105">
        <f>IFERROR(VLOOKUP(B105,Workers!$A:$H,2,FALSE),"")</f>
        <v/>
      </c>
      <c r="E105">
        <f>IFERROR(VLOOKUP(D105,Jobs!$A:$G,2,FALSE),"")</f>
        <v/>
      </c>
      <c r="F105" s="25" t="n"/>
      <c r="G105" s="26" t="n"/>
      <c r="H105" s="26" t="n"/>
      <c r="J105" s="27">
        <f>IF(OR(G105="",H105=""),"",MAX(0,(H105-G105)*24-(I105/60)))</f>
        <v/>
      </c>
      <c r="K105" s="28">
        <f>IFERROR(VLOOKUP(D105,Jobs!$A:$G,5,FALSE),"")</f>
        <v/>
      </c>
      <c r="L105" s="28">
        <f>IF(OR(J105="",K105=""),"",J105*K105)</f>
        <v/>
      </c>
      <c r="M105" s="28" t="n"/>
      <c r="N105" s="28" t="n"/>
      <c r="O105" s="28">
        <f>IF(L105="","",L105+M105-N105)</f>
        <v/>
      </c>
      <c r="Q105" s="29" t="n"/>
      <c r="R105" s="29" t="n"/>
    </row>
    <row r="106">
      <c r="C106">
        <f>IFERROR(VLOOKUP(B106,Workers!$A:$H,2,FALSE),"")</f>
        <v/>
      </c>
      <c r="E106">
        <f>IFERROR(VLOOKUP(D106,Jobs!$A:$G,2,FALSE),"")</f>
        <v/>
      </c>
      <c r="F106" s="25" t="n"/>
      <c r="G106" s="26" t="n"/>
      <c r="H106" s="26" t="n"/>
      <c r="J106" s="27">
        <f>IF(OR(G106="",H106=""),"",MAX(0,(H106-G106)*24-(I106/60)))</f>
        <v/>
      </c>
      <c r="K106" s="28">
        <f>IFERROR(VLOOKUP(D106,Jobs!$A:$G,5,FALSE),"")</f>
        <v/>
      </c>
      <c r="L106" s="28">
        <f>IF(OR(J106="",K106=""),"",J106*K106)</f>
        <v/>
      </c>
      <c r="M106" s="28" t="n"/>
      <c r="N106" s="28" t="n"/>
      <c r="O106" s="28">
        <f>IF(L106="","",L106+M106-N106)</f>
        <v/>
      </c>
      <c r="Q106" s="29" t="n"/>
      <c r="R106" s="29" t="n"/>
    </row>
    <row r="107">
      <c r="C107">
        <f>IFERROR(VLOOKUP(B107,Workers!$A:$H,2,FALSE),"")</f>
        <v/>
      </c>
      <c r="E107">
        <f>IFERROR(VLOOKUP(D107,Jobs!$A:$G,2,FALSE),"")</f>
        <v/>
      </c>
      <c r="F107" s="25" t="n"/>
      <c r="G107" s="26" t="n"/>
      <c r="H107" s="26" t="n"/>
      <c r="J107" s="27">
        <f>IF(OR(G107="",H107=""),"",MAX(0,(H107-G107)*24-(I107/60)))</f>
        <v/>
      </c>
      <c r="K107" s="28">
        <f>IFERROR(VLOOKUP(D107,Jobs!$A:$G,5,FALSE),"")</f>
        <v/>
      </c>
      <c r="L107" s="28">
        <f>IF(OR(J107="",K107=""),"",J107*K107)</f>
        <v/>
      </c>
      <c r="M107" s="28" t="n"/>
      <c r="N107" s="28" t="n"/>
      <c r="O107" s="28">
        <f>IF(L107="","",L107+M107-N107)</f>
        <v/>
      </c>
      <c r="Q107" s="29" t="n"/>
      <c r="R107" s="29" t="n"/>
    </row>
    <row r="108">
      <c r="C108">
        <f>IFERROR(VLOOKUP(B108,Workers!$A:$H,2,FALSE),"")</f>
        <v/>
      </c>
      <c r="E108">
        <f>IFERROR(VLOOKUP(D108,Jobs!$A:$G,2,FALSE),"")</f>
        <v/>
      </c>
      <c r="F108" s="25" t="n"/>
      <c r="G108" s="26" t="n"/>
      <c r="H108" s="26" t="n"/>
      <c r="J108" s="27">
        <f>IF(OR(G108="",H108=""),"",MAX(0,(H108-G108)*24-(I108/60)))</f>
        <v/>
      </c>
      <c r="K108" s="28">
        <f>IFERROR(VLOOKUP(D108,Jobs!$A:$G,5,FALSE),"")</f>
        <v/>
      </c>
      <c r="L108" s="28">
        <f>IF(OR(J108="",K108=""),"",J108*K108)</f>
        <v/>
      </c>
      <c r="M108" s="28" t="n"/>
      <c r="N108" s="28" t="n"/>
      <c r="O108" s="28">
        <f>IF(L108="","",L108+M108-N108)</f>
        <v/>
      </c>
      <c r="Q108" s="29" t="n"/>
      <c r="R108" s="29" t="n"/>
    </row>
    <row r="109">
      <c r="C109">
        <f>IFERROR(VLOOKUP(B109,Workers!$A:$H,2,FALSE),"")</f>
        <v/>
      </c>
      <c r="E109">
        <f>IFERROR(VLOOKUP(D109,Jobs!$A:$G,2,FALSE),"")</f>
        <v/>
      </c>
      <c r="F109" s="25" t="n"/>
      <c r="G109" s="26" t="n"/>
      <c r="H109" s="26" t="n"/>
      <c r="J109" s="27">
        <f>IF(OR(G109="",H109=""),"",MAX(0,(H109-G109)*24-(I109/60)))</f>
        <v/>
      </c>
      <c r="K109" s="28">
        <f>IFERROR(VLOOKUP(D109,Jobs!$A:$G,5,FALSE),"")</f>
        <v/>
      </c>
      <c r="L109" s="28">
        <f>IF(OR(J109="",K109=""),"",J109*K109)</f>
        <v/>
      </c>
      <c r="M109" s="28" t="n"/>
      <c r="N109" s="28" t="n"/>
      <c r="O109" s="28">
        <f>IF(L109="","",L109+M109-N109)</f>
        <v/>
      </c>
      <c r="Q109" s="29" t="n"/>
      <c r="R109" s="29" t="n"/>
    </row>
    <row r="110">
      <c r="C110">
        <f>IFERROR(VLOOKUP(B110,Workers!$A:$H,2,FALSE),"")</f>
        <v/>
      </c>
      <c r="E110">
        <f>IFERROR(VLOOKUP(D110,Jobs!$A:$G,2,FALSE),"")</f>
        <v/>
      </c>
      <c r="F110" s="25" t="n"/>
      <c r="G110" s="26" t="n"/>
      <c r="H110" s="26" t="n"/>
      <c r="J110" s="27">
        <f>IF(OR(G110="",H110=""),"",MAX(0,(H110-G110)*24-(I110/60)))</f>
        <v/>
      </c>
      <c r="K110" s="28">
        <f>IFERROR(VLOOKUP(D110,Jobs!$A:$G,5,FALSE),"")</f>
        <v/>
      </c>
      <c r="L110" s="28">
        <f>IF(OR(J110="",K110=""),"",J110*K110)</f>
        <v/>
      </c>
      <c r="M110" s="28" t="n"/>
      <c r="N110" s="28" t="n"/>
      <c r="O110" s="28">
        <f>IF(L110="","",L110+M110-N110)</f>
        <v/>
      </c>
      <c r="Q110" s="29" t="n"/>
      <c r="R110" s="29" t="n"/>
    </row>
    <row r="111">
      <c r="C111">
        <f>IFERROR(VLOOKUP(B111,Workers!$A:$H,2,FALSE),"")</f>
        <v/>
      </c>
      <c r="E111">
        <f>IFERROR(VLOOKUP(D111,Jobs!$A:$G,2,FALSE),"")</f>
        <v/>
      </c>
      <c r="F111" s="25" t="n"/>
      <c r="G111" s="26" t="n"/>
      <c r="H111" s="26" t="n"/>
      <c r="J111" s="27">
        <f>IF(OR(G111="",H111=""),"",MAX(0,(H111-G111)*24-(I111/60)))</f>
        <v/>
      </c>
      <c r="K111" s="28">
        <f>IFERROR(VLOOKUP(D111,Jobs!$A:$G,5,FALSE),"")</f>
        <v/>
      </c>
      <c r="L111" s="28">
        <f>IF(OR(J111="",K111=""),"",J111*K111)</f>
        <v/>
      </c>
      <c r="M111" s="28" t="n"/>
      <c r="N111" s="28" t="n"/>
      <c r="O111" s="28">
        <f>IF(L111="","",L111+M111-N111)</f>
        <v/>
      </c>
      <c r="Q111" s="29" t="n"/>
      <c r="R111" s="29" t="n"/>
    </row>
    <row r="112">
      <c r="C112">
        <f>IFERROR(VLOOKUP(B112,Workers!$A:$H,2,FALSE),"")</f>
        <v/>
      </c>
      <c r="E112">
        <f>IFERROR(VLOOKUP(D112,Jobs!$A:$G,2,FALSE),"")</f>
        <v/>
      </c>
      <c r="F112" s="25" t="n"/>
      <c r="G112" s="26" t="n"/>
      <c r="H112" s="26" t="n"/>
      <c r="J112" s="27">
        <f>IF(OR(G112="",H112=""),"",MAX(0,(H112-G112)*24-(I112/60)))</f>
        <v/>
      </c>
      <c r="K112" s="28">
        <f>IFERROR(VLOOKUP(D112,Jobs!$A:$G,5,FALSE),"")</f>
        <v/>
      </c>
      <c r="L112" s="28">
        <f>IF(OR(J112="",K112=""),"",J112*K112)</f>
        <v/>
      </c>
      <c r="M112" s="28" t="n"/>
      <c r="N112" s="28" t="n"/>
      <c r="O112" s="28">
        <f>IF(L112="","",L112+M112-N112)</f>
        <v/>
      </c>
      <c r="Q112" s="29" t="n"/>
      <c r="R112" s="29" t="n"/>
    </row>
    <row r="113">
      <c r="C113">
        <f>IFERROR(VLOOKUP(B113,Workers!$A:$H,2,FALSE),"")</f>
        <v/>
      </c>
      <c r="E113">
        <f>IFERROR(VLOOKUP(D113,Jobs!$A:$G,2,FALSE),"")</f>
        <v/>
      </c>
      <c r="F113" s="25" t="n"/>
      <c r="G113" s="26" t="n"/>
      <c r="H113" s="26" t="n"/>
      <c r="J113" s="27">
        <f>IF(OR(G113="",H113=""),"",MAX(0,(H113-G113)*24-(I113/60)))</f>
        <v/>
      </c>
      <c r="K113" s="28">
        <f>IFERROR(VLOOKUP(D113,Jobs!$A:$G,5,FALSE),"")</f>
        <v/>
      </c>
      <c r="L113" s="28">
        <f>IF(OR(J113="",K113=""),"",J113*K113)</f>
        <v/>
      </c>
      <c r="M113" s="28" t="n"/>
      <c r="N113" s="28" t="n"/>
      <c r="O113" s="28">
        <f>IF(L113="","",L113+M113-N113)</f>
        <v/>
      </c>
      <c r="Q113" s="29" t="n"/>
      <c r="R113" s="29" t="n"/>
    </row>
    <row r="114">
      <c r="C114">
        <f>IFERROR(VLOOKUP(B114,Workers!$A:$H,2,FALSE),"")</f>
        <v/>
      </c>
      <c r="E114">
        <f>IFERROR(VLOOKUP(D114,Jobs!$A:$G,2,FALSE),"")</f>
        <v/>
      </c>
      <c r="F114" s="25" t="n"/>
      <c r="G114" s="26" t="n"/>
      <c r="H114" s="26" t="n"/>
      <c r="J114" s="27">
        <f>IF(OR(G114="",H114=""),"",MAX(0,(H114-G114)*24-(I114/60)))</f>
        <v/>
      </c>
      <c r="K114" s="28">
        <f>IFERROR(VLOOKUP(D114,Jobs!$A:$G,5,FALSE),"")</f>
        <v/>
      </c>
      <c r="L114" s="28">
        <f>IF(OR(J114="",K114=""),"",J114*K114)</f>
        <v/>
      </c>
      <c r="M114" s="28" t="n"/>
      <c r="N114" s="28" t="n"/>
      <c r="O114" s="28">
        <f>IF(L114="","",L114+M114-N114)</f>
        <v/>
      </c>
      <c r="Q114" s="29" t="n"/>
      <c r="R114" s="29" t="n"/>
    </row>
    <row r="115">
      <c r="C115">
        <f>IFERROR(VLOOKUP(B115,Workers!$A:$H,2,FALSE),"")</f>
        <v/>
      </c>
      <c r="E115">
        <f>IFERROR(VLOOKUP(D115,Jobs!$A:$G,2,FALSE),"")</f>
        <v/>
      </c>
      <c r="F115" s="25" t="n"/>
      <c r="G115" s="26" t="n"/>
      <c r="H115" s="26" t="n"/>
      <c r="J115" s="27">
        <f>IF(OR(G115="",H115=""),"",MAX(0,(H115-G115)*24-(I115/60)))</f>
        <v/>
      </c>
      <c r="K115" s="28">
        <f>IFERROR(VLOOKUP(D115,Jobs!$A:$G,5,FALSE),"")</f>
        <v/>
      </c>
      <c r="L115" s="28">
        <f>IF(OR(J115="",K115=""),"",J115*K115)</f>
        <v/>
      </c>
      <c r="M115" s="28" t="n"/>
      <c r="N115" s="28" t="n"/>
      <c r="O115" s="28">
        <f>IF(L115="","",L115+M115-N115)</f>
        <v/>
      </c>
      <c r="Q115" s="29" t="n"/>
      <c r="R115" s="29" t="n"/>
    </row>
    <row r="116">
      <c r="C116">
        <f>IFERROR(VLOOKUP(B116,Workers!$A:$H,2,FALSE),"")</f>
        <v/>
      </c>
      <c r="E116">
        <f>IFERROR(VLOOKUP(D116,Jobs!$A:$G,2,FALSE),"")</f>
        <v/>
      </c>
      <c r="F116" s="25" t="n"/>
      <c r="G116" s="26" t="n"/>
      <c r="H116" s="26" t="n"/>
      <c r="J116" s="27">
        <f>IF(OR(G116="",H116=""),"",MAX(0,(H116-G116)*24-(I116/60)))</f>
        <v/>
      </c>
      <c r="K116" s="28">
        <f>IFERROR(VLOOKUP(D116,Jobs!$A:$G,5,FALSE),"")</f>
        <v/>
      </c>
      <c r="L116" s="28">
        <f>IF(OR(J116="",K116=""),"",J116*K116)</f>
        <v/>
      </c>
      <c r="M116" s="28" t="n"/>
      <c r="N116" s="28" t="n"/>
      <c r="O116" s="28">
        <f>IF(L116="","",L116+M116-N116)</f>
        <v/>
      </c>
      <c r="Q116" s="29" t="n"/>
      <c r="R116" s="29" t="n"/>
    </row>
    <row r="117">
      <c r="C117">
        <f>IFERROR(VLOOKUP(B117,Workers!$A:$H,2,FALSE),"")</f>
        <v/>
      </c>
      <c r="E117">
        <f>IFERROR(VLOOKUP(D117,Jobs!$A:$G,2,FALSE),"")</f>
        <v/>
      </c>
      <c r="F117" s="25" t="n"/>
      <c r="G117" s="26" t="n"/>
      <c r="H117" s="26" t="n"/>
      <c r="J117" s="27">
        <f>IF(OR(G117="",H117=""),"",MAX(0,(H117-G117)*24-(I117/60)))</f>
        <v/>
      </c>
      <c r="K117" s="28">
        <f>IFERROR(VLOOKUP(D117,Jobs!$A:$G,5,FALSE),"")</f>
        <v/>
      </c>
      <c r="L117" s="28">
        <f>IF(OR(J117="",K117=""),"",J117*K117)</f>
        <v/>
      </c>
      <c r="M117" s="28" t="n"/>
      <c r="N117" s="28" t="n"/>
      <c r="O117" s="28">
        <f>IF(L117="","",L117+M117-N117)</f>
        <v/>
      </c>
      <c r="Q117" s="29" t="n"/>
      <c r="R117" s="29" t="n"/>
    </row>
    <row r="118">
      <c r="C118">
        <f>IFERROR(VLOOKUP(B118,Workers!$A:$H,2,FALSE),"")</f>
        <v/>
      </c>
      <c r="E118">
        <f>IFERROR(VLOOKUP(D118,Jobs!$A:$G,2,FALSE),"")</f>
        <v/>
      </c>
      <c r="F118" s="25" t="n"/>
      <c r="G118" s="26" t="n"/>
      <c r="H118" s="26" t="n"/>
      <c r="J118" s="27">
        <f>IF(OR(G118="",H118=""),"",MAX(0,(H118-G118)*24-(I118/60)))</f>
        <v/>
      </c>
      <c r="K118" s="28">
        <f>IFERROR(VLOOKUP(D118,Jobs!$A:$G,5,FALSE),"")</f>
        <v/>
      </c>
      <c r="L118" s="28">
        <f>IF(OR(J118="",K118=""),"",J118*K118)</f>
        <v/>
      </c>
      <c r="M118" s="28" t="n"/>
      <c r="N118" s="28" t="n"/>
      <c r="O118" s="28">
        <f>IF(L118="","",L118+M118-N118)</f>
        <v/>
      </c>
      <c r="Q118" s="29" t="n"/>
      <c r="R118" s="29" t="n"/>
    </row>
    <row r="119">
      <c r="C119">
        <f>IFERROR(VLOOKUP(B119,Workers!$A:$H,2,FALSE),"")</f>
        <v/>
      </c>
      <c r="E119">
        <f>IFERROR(VLOOKUP(D119,Jobs!$A:$G,2,FALSE),"")</f>
        <v/>
      </c>
      <c r="F119" s="25" t="n"/>
      <c r="G119" s="26" t="n"/>
      <c r="H119" s="26" t="n"/>
      <c r="J119" s="27">
        <f>IF(OR(G119="",H119=""),"",MAX(0,(H119-G119)*24-(I119/60)))</f>
        <v/>
      </c>
      <c r="K119" s="28">
        <f>IFERROR(VLOOKUP(D119,Jobs!$A:$G,5,FALSE),"")</f>
        <v/>
      </c>
      <c r="L119" s="28">
        <f>IF(OR(J119="",K119=""),"",J119*K119)</f>
        <v/>
      </c>
      <c r="M119" s="28" t="n"/>
      <c r="N119" s="28" t="n"/>
      <c r="O119" s="28">
        <f>IF(L119="","",L119+M119-N119)</f>
        <v/>
      </c>
      <c r="Q119" s="29" t="n"/>
      <c r="R119" s="29" t="n"/>
    </row>
    <row r="120">
      <c r="C120">
        <f>IFERROR(VLOOKUP(B120,Workers!$A:$H,2,FALSE),"")</f>
        <v/>
      </c>
      <c r="E120">
        <f>IFERROR(VLOOKUP(D120,Jobs!$A:$G,2,FALSE),"")</f>
        <v/>
      </c>
      <c r="F120" s="25" t="n"/>
      <c r="G120" s="26" t="n"/>
      <c r="H120" s="26" t="n"/>
      <c r="J120" s="27">
        <f>IF(OR(G120="",H120=""),"",MAX(0,(H120-G120)*24-(I120/60)))</f>
        <v/>
      </c>
      <c r="K120" s="28">
        <f>IFERROR(VLOOKUP(D120,Jobs!$A:$G,5,FALSE),"")</f>
        <v/>
      </c>
      <c r="L120" s="28">
        <f>IF(OR(J120="",K120=""),"",J120*K120)</f>
        <v/>
      </c>
      <c r="M120" s="28" t="n"/>
      <c r="N120" s="28" t="n"/>
      <c r="O120" s="28">
        <f>IF(L120="","",L120+M120-N120)</f>
        <v/>
      </c>
      <c r="Q120" s="29" t="n"/>
      <c r="R120" s="29" t="n"/>
    </row>
    <row r="121">
      <c r="C121">
        <f>IFERROR(VLOOKUP(B121,Workers!$A:$H,2,FALSE),"")</f>
        <v/>
      </c>
      <c r="E121">
        <f>IFERROR(VLOOKUP(D121,Jobs!$A:$G,2,FALSE),"")</f>
        <v/>
      </c>
      <c r="F121" s="25" t="n"/>
      <c r="G121" s="26" t="n"/>
      <c r="H121" s="26" t="n"/>
      <c r="J121" s="27">
        <f>IF(OR(G121="",H121=""),"",MAX(0,(H121-G121)*24-(I121/60)))</f>
        <v/>
      </c>
      <c r="K121" s="28">
        <f>IFERROR(VLOOKUP(D121,Jobs!$A:$G,5,FALSE),"")</f>
        <v/>
      </c>
      <c r="L121" s="28">
        <f>IF(OR(J121="",K121=""),"",J121*K121)</f>
        <v/>
      </c>
      <c r="M121" s="28" t="n"/>
      <c r="N121" s="28" t="n"/>
      <c r="O121" s="28">
        <f>IF(L121="","",L121+M121-N121)</f>
        <v/>
      </c>
      <c r="Q121" s="29" t="n"/>
      <c r="R121" s="29" t="n"/>
    </row>
    <row r="122">
      <c r="C122">
        <f>IFERROR(VLOOKUP(B122,Workers!$A:$H,2,FALSE),"")</f>
        <v/>
      </c>
      <c r="E122">
        <f>IFERROR(VLOOKUP(D122,Jobs!$A:$G,2,FALSE),"")</f>
        <v/>
      </c>
      <c r="F122" s="25" t="n"/>
      <c r="G122" s="26" t="n"/>
      <c r="H122" s="26" t="n"/>
      <c r="J122" s="27">
        <f>IF(OR(G122="",H122=""),"",MAX(0,(H122-G122)*24-(I122/60)))</f>
        <v/>
      </c>
      <c r="K122" s="28">
        <f>IFERROR(VLOOKUP(D122,Jobs!$A:$G,5,FALSE),"")</f>
        <v/>
      </c>
      <c r="L122" s="28">
        <f>IF(OR(J122="",K122=""),"",J122*K122)</f>
        <v/>
      </c>
      <c r="M122" s="28" t="n"/>
      <c r="N122" s="28" t="n"/>
      <c r="O122" s="28">
        <f>IF(L122="","",L122+M122-N122)</f>
        <v/>
      </c>
      <c r="Q122" s="29" t="n"/>
      <c r="R122" s="29" t="n"/>
    </row>
    <row r="123">
      <c r="C123">
        <f>IFERROR(VLOOKUP(B123,Workers!$A:$H,2,FALSE),"")</f>
        <v/>
      </c>
      <c r="E123">
        <f>IFERROR(VLOOKUP(D123,Jobs!$A:$G,2,FALSE),"")</f>
        <v/>
      </c>
      <c r="F123" s="25" t="n"/>
      <c r="G123" s="26" t="n"/>
      <c r="H123" s="26" t="n"/>
      <c r="J123" s="27">
        <f>IF(OR(G123="",H123=""),"",MAX(0,(H123-G123)*24-(I123/60)))</f>
        <v/>
      </c>
      <c r="K123" s="28">
        <f>IFERROR(VLOOKUP(D123,Jobs!$A:$G,5,FALSE),"")</f>
        <v/>
      </c>
      <c r="L123" s="28">
        <f>IF(OR(J123="",K123=""),"",J123*K123)</f>
        <v/>
      </c>
      <c r="M123" s="28" t="n"/>
      <c r="N123" s="28" t="n"/>
      <c r="O123" s="28">
        <f>IF(L123="","",L123+M123-N123)</f>
        <v/>
      </c>
      <c r="Q123" s="29" t="n"/>
      <c r="R123" s="29" t="n"/>
    </row>
    <row r="124">
      <c r="C124">
        <f>IFERROR(VLOOKUP(B124,Workers!$A:$H,2,FALSE),"")</f>
        <v/>
      </c>
      <c r="E124">
        <f>IFERROR(VLOOKUP(D124,Jobs!$A:$G,2,FALSE),"")</f>
        <v/>
      </c>
      <c r="F124" s="25" t="n"/>
      <c r="G124" s="26" t="n"/>
      <c r="H124" s="26" t="n"/>
      <c r="J124" s="27">
        <f>IF(OR(G124="",H124=""),"",MAX(0,(H124-G124)*24-(I124/60)))</f>
        <v/>
      </c>
      <c r="K124" s="28">
        <f>IFERROR(VLOOKUP(D124,Jobs!$A:$G,5,FALSE),"")</f>
        <v/>
      </c>
      <c r="L124" s="28">
        <f>IF(OR(J124="",K124=""),"",J124*K124)</f>
        <v/>
      </c>
      <c r="M124" s="28" t="n"/>
      <c r="N124" s="28" t="n"/>
      <c r="O124" s="28">
        <f>IF(L124="","",L124+M124-N124)</f>
        <v/>
      </c>
      <c r="Q124" s="29" t="n"/>
      <c r="R124" s="29" t="n"/>
    </row>
    <row r="125">
      <c r="C125">
        <f>IFERROR(VLOOKUP(B125,Workers!$A:$H,2,FALSE),"")</f>
        <v/>
      </c>
      <c r="E125">
        <f>IFERROR(VLOOKUP(D125,Jobs!$A:$G,2,FALSE),"")</f>
        <v/>
      </c>
      <c r="F125" s="25" t="n"/>
      <c r="G125" s="26" t="n"/>
      <c r="H125" s="26" t="n"/>
      <c r="J125" s="27">
        <f>IF(OR(G125="",H125=""),"",MAX(0,(H125-G125)*24-(I125/60)))</f>
        <v/>
      </c>
      <c r="K125" s="28">
        <f>IFERROR(VLOOKUP(D125,Jobs!$A:$G,5,FALSE),"")</f>
        <v/>
      </c>
      <c r="L125" s="28">
        <f>IF(OR(J125="",K125=""),"",J125*K125)</f>
        <v/>
      </c>
      <c r="M125" s="28" t="n"/>
      <c r="N125" s="28" t="n"/>
      <c r="O125" s="28">
        <f>IF(L125="","",L125+M125-N125)</f>
        <v/>
      </c>
      <c r="Q125" s="29" t="n"/>
      <c r="R125" s="29" t="n"/>
    </row>
    <row r="126">
      <c r="C126">
        <f>IFERROR(VLOOKUP(B126,Workers!$A:$H,2,FALSE),"")</f>
        <v/>
      </c>
      <c r="E126">
        <f>IFERROR(VLOOKUP(D126,Jobs!$A:$G,2,FALSE),"")</f>
        <v/>
      </c>
      <c r="F126" s="25" t="n"/>
      <c r="G126" s="26" t="n"/>
      <c r="H126" s="26" t="n"/>
      <c r="J126" s="27">
        <f>IF(OR(G126="",H126=""),"",MAX(0,(H126-G126)*24-(I126/60)))</f>
        <v/>
      </c>
      <c r="K126" s="28">
        <f>IFERROR(VLOOKUP(D126,Jobs!$A:$G,5,FALSE),"")</f>
        <v/>
      </c>
      <c r="L126" s="28">
        <f>IF(OR(J126="",K126=""),"",J126*K126)</f>
        <v/>
      </c>
      <c r="M126" s="28" t="n"/>
      <c r="N126" s="28" t="n"/>
      <c r="O126" s="28">
        <f>IF(L126="","",L126+M126-N126)</f>
        <v/>
      </c>
      <c r="Q126" s="29" t="n"/>
      <c r="R126" s="29" t="n"/>
    </row>
    <row r="127">
      <c r="C127">
        <f>IFERROR(VLOOKUP(B127,Workers!$A:$H,2,FALSE),"")</f>
        <v/>
      </c>
      <c r="E127">
        <f>IFERROR(VLOOKUP(D127,Jobs!$A:$G,2,FALSE),"")</f>
        <v/>
      </c>
      <c r="F127" s="25" t="n"/>
      <c r="G127" s="26" t="n"/>
      <c r="H127" s="26" t="n"/>
      <c r="J127" s="27">
        <f>IF(OR(G127="",H127=""),"",MAX(0,(H127-G127)*24-(I127/60)))</f>
        <v/>
      </c>
      <c r="K127" s="28">
        <f>IFERROR(VLOOKUP(D127,Jobs!$A:$G,5,FALSE),"")</f>
        <v/>
      </c>
      <c r="L127" s="28">
        <f>IF(OR(J127="",K127=""),"",J127*K127)</f>
        <v/>
      </c>
      <c r="M127" s="28" t="n"/>
      <c r="N127" s="28" t="n"/>
      <c r="O127" s="28">
        <f>IF(L127="","",L127+M127-N127)</f>
        <v/>
      </c>
      <c r="Q127" s="29" t="n"/>
      <c r="R127" s="29" t="n"/>
    </row>
    <row r="128">
      <c r="C128">
        <f>IFERROR(VLOOKUP(B128,Workers!$A:$H,2,FALSE),"")</f>
        <v/>
      </c>
      <c r="E128">
        <f>IFERROR(VLOOKUP(D128,Jobs!$A:$G,2,FALSE),"")</f>
        <v/>
      </c>
      <c r="F128" s="25" t="n"/>
      <c r="G128" s="26" t="n"/>
      <c r="H128" s="26" t="n"/>
      <c r="J128" s="27">
        <f>IF(OR(G128="",H128=""),"",MAX(0,(H128-G128)*24-(I128/60)))</f>
        <v/>
      </c>
      <c r="K128" s="28">
        <f>IFERROR(VLOOKUP(D128,Jobs!$A:$G,5,FALSE),"")</f>
        <v/>
      </c>
      <c r="L128" s="28">
        <f>IF(OR(J128="",K128=""),"",J128*K128)</f>
        <v/>
      </c>
      <c r="M128" s="28" t="n"/>
      <c r="N128" s="28" t="n"/>
      <c r="O128" s="28">
        <f>IF(L128="","",L128+M128-N128)</f>
        <v/>
      </c>
      <c r="Q128" s="29" t="n"/>
      <c r="R128" s="29" t="n"/>
    </row>
    <row r="129">
      <c r="C129">
        <f>IFERROR(VLOOKUP(B129,Workers!$A:$H,2,FALSE),"")</f>
        <v/>
      </c>
      <c r="E129">
        <f>IFERROR(VLOOKUP(D129,Jobs!$A:$G,2,FALSE),"")</f>
        <v/>
      </c>
      <c r="F129" s="25" t="n"/>
      <c r="G129" s="26" t="n"/>
      <c r="H129" s="26" t="n"/>
      <c r="J129" s="27">
        <f>IF(OR(G129="",H129=""),"",MAX(0,(H129-G129)*24-(I129/60)))</f>
        <v/>
      </c>
      <c r="K129" s="28">
        <f>IFERROR(VLOOKUP(D129,Jobs!$A:$G,5,FALSE),"")</f>
        <v/>
      </c>
      <c r="L129" s="28">
        <f>IF(OR(J129="",K129=""),"",J129*K129)</f>
        <v/>
      </c>
      <c r="M129" s="28" t="n"/>
      <c r="N129" s="28" t="n"/>
      <c r="O129" s="28">
        <f>IF(L129="","",L129+M129-N129)</f>
        <v/>
      </c>
      <c r="Q129" s="29" t="n"/>
      <c r="R129" s="29" t="n"/>
    </row>
    <row r="130">
      <c r="C130">
        <f>IFERROR(VLOOKUP(B130,Workers!$A:$H,2,FALSE),"")</f>
        <v/>
      </c>
      <c r="E130">
        <f>IFERROR(VLOOKUP(D130,Jobs!$A:$G,2,FALSE),"")</f>
        <v/>
      </c>
      <c r="F130" s="25" t="n"/>
      <c r="G130" s="26" t="n"/>
      <c r="H130" s="26" t="n"/>
      <c r="J130" s="27">
        <f>IF(OR(G130="",H130=""),"",MAX(0,(H130-G130)*24-(I130/60)))</f>
        <v/>
      </c>
      <c r="K130" s="28">
        <f>IFERROR(VLOOKUP(D130,Jobs!$A:$G,5,FALSE),"")</f>
        <v/>
      </c>
      <c r="L130" s="28">
        <f>IF(OR(J130="",K130=""),"",J130*K130)</f>
        <v/>
      </c>
      <c r="M130" s="28" t="n"/>
      <c r="N130" s="28" t="n"/>
      <c r="O130" s="28">
        <f>IF(L130="","",L130+M130-N130)</f>
        <v/>
      </c>
      <c r="Q130" s="29" t="n"/>
      <c r="R130" s="29" t="n"/>
    </row>
    <row r="131">
      <c r="C131">
        <f>IFERROR(VLOOKUP(B131,Workers!$A:$H,2,FALSE),"")</f>
        <v/>
      </c>
      <c r="E131">
        <f>IFERROR(VLOOKUP(D131,Jobs!$A:$G,2,FALSE),"")</f>
        <v/>
      </c>
      <c r="F131" s="25" t="n"/>
      <c r="G131" s="26" t="n"/>
      <c r="H131" s="26" t="n"/>
      <c r="J131" s="27">
        <f>IF(OR(G131="",H131=""),"",MAX(0,(H131-G131)*24-(I131/60)))</f>
        <v/>
      </c>
      <c r="K131" s="28">
        <f>IFERROR(VLOOKUP(D131,Jobs!$A:$G,5,FALSE),"")</f>
        <v/>
      </c>
      <c r="L131" s="28">
        <f>IF(OR(J131="",K131=""),"",J131*K131)</f>
        <v/>
      </c>
      <c r="M131" s="28" t="n"/>
      <c r="N131" s="28" t="n"/>
      <c r="O131" s="28">
        <f>IF(L131="","",L131+M131-N131)</f>
        <v/>
      </c>
      <c r="Q131" s="29" t="n"/>
      <c r="R131" s="29" t="n"/>
    </row>
    <row r="132">
      <c r="C132">
        <f>IFERROR(VLOOKUP(B132,Workers!$A:$H,2,FALSE),"")</f>
        <v/>
      </c>
      <c r="E132">
        <f>IFERROR(VLOOKUP(D132,Jobs!$A:$G,2,FALSE),"")</f>
        <v/>
      </c>
      <c r="F132" s="25" t="n"/>
      <c r="G132" s="26" t="n"/>
      <c r="H132" s="26" t="n"/>
      <c r="J132" s="27">
        <f>IF(OR(G132="",H132=""),"",MAX(0,(H132-G132)*24-(I132/60)))</f>
        <v/>
      </c>
      <c r="K132" s="28">
        <f>IFERROR(VLOOKUP(D132,Jobs!$A:$G,5,FALSE),"")</f>
        <v/>
      </c>
      <c r="L132" s="28">
        <f>IF(OR(J132="",K132=""),"",J132*K132)</f>
        <v/>
      </c>
      <c r="M132" s="28" t="n"/>
      <c r="N132" s="28" t="n"/>
      <c r="O132" s="28">
        <f>IF(L132="","",L132+M132-N132)</f>
        <v/>
      </c>
      <c r="Q132" s="29" t="n"/>
      <c r="R132" s="29" t="n"/>
    </row>
    <row r="133">
      <c r="C133">
        <f>IFERROR(VLOOKUP(B133,Workers!$A:$H,2,FALSE),"")</f>
        <v/>
      </c>
      <c r="E133">
        <f>IFERROR(VLOOKUP(D133,Jobs!$A:$G,2,FALSE),"")</f>
        <v/>
      </c>
      <c r="F133" s="25" t="n"/>
      <c r="G133" s="26" t="n"/>
      <c r="H133" s="26" t="n"/>
      <c r="J133" s="27">
        <f>IF(OR(G133="",H133=""),"",MAX(0,(H133-G133)*24-(I133/60)))</f>
        <v/>
      </c>
      <c r="K133" s="28">
        <f>IFERROR(VLOOKUP(D133,Jobs!$A:$G,5,FALSE),"")</f>
        <v/>
      </c>
      <c r="L133" s="28">
        <f>IF(OR(J133="",K133=""),"",J133*K133)</f>
        <v/>
      </c>
      <c r="M133" s="28" t="n"/>
      <c r="N133" s="28" t="n"/>
      <c r="O133" s="28">
        <f>IF(L133="","",L133+M133-N133)</f>
        <v/>
      </c>
      <c r="Q133" s="29" t="n"/>
      <c r="R133" s="29" t="n"/>
    </row>
    <row r="134">
      <c r="C134">
        <f>IFERROR(VLOOKUP(B134,Workers!$A:$H,2,FALSE),"")</f>
        <v/>
      </c>
      <c r="E134">
        <f>IFERROR(VLOOKUP(D134,Jobs!$A:$G,2,FALSE),"")</f>
        <v/>
      </c>
      <c r="F134" s="25" t="n"/>
      <c r="G134" s="26" t="n"/>
      <c r="H134" s="26" t="n"/>
      <c r="J134" s="27">
        <f>IF(OR(G134="",H134=""),"",MAX(0,(H134-G134)*24-(I134/60)))</f>
        <v/>
      </c>
      <c r="K134" s="28">
        <f>IFERROR(VLOOKUP(D134,Jobs!$A:$G,5,FALSE),"")</f>
        <v/>
      </c>
      <c r="L134" s="28">
        <f>IF(OR(J134="",K134=""),"",J134*K134)</f>
        <v/>
      </c>
      <c r="M134" s="28" t="n"/>
      <c r="N134" s="28" t="n"/>
      <c r="O134" s="28">
        <f>IF(L134="","",L134+M134-N134)</f>
        <v/>
      </c>
      <c r="Q134" s="29" t="n"/>
      <c r="R134" s="29" t="n"/>
    </row>
    <row r="135">
      <c r="C135">
        <f>IFERROR(VLOOKUP(B135,Workers!$A:$H,2,FALSE),"")</f>
        <v/>
      </c>
      <c r="E135">
        <f>IFERROR(VLOOKUP(D135,Jobs!$A:$G,2,FALSE),"")</f>
        <v/>
      </c>
      <c r="F135" s="25" t="n"/>
      <c r="G135" s="26" t="n"/>
      <c r="H135" s="26" t="n"/>
      <c r="J135" s="27">
        <f>IF(OR(G135="",H135=""),"",MAX(0,(H135-G135)*24-(I135/60)))</f>
        <v/>
      </c>
      <c r="K135" s="28">
        <f>IFERROR(VLOOKUP(D135,Jobs!$A:$G,5,FALSE),"")</f>
        <v/>
      </c>
      <c r="L135" s="28">
        <f>IF(OR(J135="",K135=""),"",J135*K135)</f>
        <v/>
      </c>
      <c r="M135" s="28" t="n"/>
      <c r="N135" s="28" t="n"/>
      <c r="O135" s="28">
        <f>IF(L135="","",L135+M135-N135)</f>
        <v/>
      </c>
      <c r="Q135" s="29" t="n"/>
      <c r="R135" s="29" t="n"/>
    </row>
    <row r="136">
      <c r="C136">
        <f>IFERROR(VLOOKUP(B136,Workers!$A:$H,2,FALSE),"")</f>
        <v/>
      </c>
      <c r="E136">
        <f>IFERROR(VLOOKUP(D136,Jobs!$A:$G,2,FALSE),"")</f>
        <v/>
      </c>
      <c r="F136" s="25" t="n"/>
      <c r="G136" s="26" t="n"/>
      <c r="H136" s="26" t="n"/>
      <c r="J136" s="27">
        <f>IF(OR(G136="",H136=""),"",MAX(0,(H136-G136)*24-(I136/60)))</f>
        <v/>
      </c>
      <c r="K136" s="28">
        <f>IFERROR(VLOOKUP(D136,Jobs!$A:$G,5,FALSE),"")</f>
        <v/>
      </c>
      <c r="L136" s="28">
        <f>IF(OR(J136="",K136=""),"",J136*K136)</f>
        <v/>
      </c>
      <c r="M136" s="28" t="n"/>
      <c r="N136" s="28" t="n"/>
      <c r="O136" s="28">
        <f>IF(L136="","",L136+M136-N136)</f>
        <v/>
      </c>
      <c r="Q136" s="29" t="n"/>
      <c r="R136" s="29" t="n"/>
    </row>
    <row r="137">
      <c r="C137">
        <f>IFERROR(VLOOKUP(B137,Workers!$A:$H,2,FALSE),"")</f>
        <v/>
      </c>
      <c r="E137">
        <f>IFERROR(VLOOKUP(D137,Jobs!$A:$G,2,FALSE),"")</f>
        <v/>
      </c>
      <c r="F137" s="25" t="n"/>
      <c r="G137" s="26" t="n"/>
      <c r="H137" s="26" t="n"/>
      <c r="J137" s="27">
        <f>IF(OR(G137="",H137=""),"",MAX(0,(H137-G137)*24-(I137/60)))</f>
        <v/>
      </c>
      <c r="K137" s="28">
        <f>IFERROR(VLOOKUP(D137,Jobs!$A:$G,5,FALSE),"")</f>
        <v/>
      </c>
      <c r="L137" s="28">
        <f>IF(OR(J137="",K137=""),"",J137*K137)</f>
        <v/>
      </c>
      <c r="M137" s="28" t="n"/>
      <c r="N137" s="28" t="n"/>
      <c r="O137" s="28">
        <f>IF(L137="","",L137+M137-N137)</f>
        <v/>
      </c>
      <c r="Q137" s="29" t="n"/>
      <c r="R137" s="29" t="n"/>
    </row>
    <row r="138">
      <c r="C138">
        <f>IFERROR(VLOOKUP(B138,Workers!$A:$H,2,FALSE),"")</f>
        <v/>
      </c>
      <c r="E138">
        <f>IFERROR(VLOOKUP(D138,Jobs!$A:$G,2,FALSE),"")</f>
        <v/>
      </c>
      <c r="F138" s="25" t="n"/>
      <c r="G138" s="26" t="n"/>
      <c r="H138" s="26" t="n"/>
      <c r="J138" s="27">
        <f>IF(OR(G138="",H138=""),"",MAX(0,(H138-G138)*24-(I138/60)))</f>
        <v/>
      </c>
      <c r="K138" s="28">
        <f>IFERROR(VLOOKUP(D138,Jobs!$A:$G,5,FALSE),"")</f>
        <v/>
      </c>
      <c r="L138" s="28">
        <f>IF(OR(J138="",K138=""),"",J138*K138)</f>
        <v/>
      </c>
      <c r="M138" s="28" t="n"/>
      <c r="N138" s="28" t="n"/>
      <c r="O138" s="28">
        <f>IF(L138="","",L138+M138-N138)</f>
        <v/>
      </c>
      <c r="Q138" s="29" t="n"/>
      <c r="R138" s="29" t="n"/>
    </row>
    <row r="139">
      <c r="C139">
        <f>IFERROR(VLOOKUP(B139,Workers!$A:$H,2,FALSE),"")</f>
        <v/>
      </c>
      <c r="E139">
        <f>IFERROR(VLOOKUP(D139,Jobs!$A:$G,2,FALSE),"")</f>
        <v/>
      </c>
      <c r="F139" s="25" t="n"/>
      <c r="G139" s="26" t="n"/>
      <c r="H139" s="26" t="n"/>
      <c r="J139" s="27">
        <f>IF(OR(G139="",H139=""),"",MAX(0,(H139-G139)*24-(I139/60)))</f>
        <v/>
      </c>
      <c r="K139" s="28">
        <f>IFERROR(VLOOKUP(D139,Jobs!$A:$G,5,FALSE),"")</f>
        <v/>
      </c>
      <c r="L139" s="28">
        <f>IF(OR(J139="",K139=""),"",J139*K139)</f>
        <v/>
      </c>
      <c r="M139" s="28" t="n"/>
      <c r="N139" s="28" t="n"/>
      <c r="O139" s="28">
        <f>IF(L139="","",L139+M139-N139)</f>
        <v/>
      </c>
      <c r="Q139" s="29" t="n"/>
      <c r="R139" s="29" t="n"/>
    </row>
    <row r="140">
      <c r="C140">
        <f>IFERROR(VLOOKUP(B140,Workers!$A:$H,2,FALSE),"")</f>
        <v/>
      </c>
      <c r="E140">
        <f>IFERROR(VLOOKUP(D140,Jobs!$A:$G,2,FALSE),"")</f>
        <v/>
      </c>
      <c r="F140" s="25" t="n"/>
      <c r="G140" s="26" t="n"/>
      <c r="H140" s="26" t="n"/>
      <c r="J140" s="27">
        <f>IF(OR(G140="",H140=""),"",MAX(0,(H140-G140)*24-(I140/60)))</f>
        <v/>
      </c>
      <c r="K140" s="28">
        <f>IFERROR(VLOOKUP(D140,Jobs!$A:$G,5,FALSE),"")</f>
        <v/>
      </c>
      <c r="L140" s="28">
        <f>IF(OR(J140="",K140=""),"",J140*K140)</f>
        <v/>
      </c>
      <c r="M140" s="28" t="n"/>
      <c r="N140" s="28" t="n"/>
      <c r="O140" s="28">
        <f>IF(L140="","",L140+M140-N140)</f>
        <v/>
      </c>
      <c r="Q140" s="29" t="n"/>
      <c r="R140" s="29" t="n"/>
    </row>
    <row r="141">
      <c r="C141">
        <f>IFERROR(VLOOKUP(B141,Workers!$A:$H,2,FALSE),"")</f>
        <v/>
      </c>
      <c r="E141">
        <f>IFERROR(VLOOKUP(D141,Jobs!$A:$G,2,FALSE),"")</f>
        <v/>
      </c>
      <c r="F141" s="25" t="n"/>
      <c r="G141" s="26" t="n"/>
      <c r="H141" s="26" t="n"/>
      <c r="J141" s="27">
        <f>IF(OR(G141="",H141=""),"",MAX(0,(H141-G141)*24-(I141/60)))</f>
        <v/>
      </c>
      <c r="K141" s="28">
        <f>IFERROR(VLOOKUP(D141,Jobs!$A:$G,5,FALSE),"")</f>
        <v/>
      </c>
      <c r="L141" s="28">
        <f>IF(OR(J141="",K141=""),"",J141*K141)</f>
        <v/>
      </c>
      <c r="M141" s="28" t="n"/>
      <c r="N141" s="28" t="n"/>
      <c r="O141" s="28">
        <f>IF(L141="","",L141+M141-N141)</f>
        <v/>
      </c>
      <c r="Q141" s="29" t="n"/>
      <c r="R141" s="29" t="n"/>
    </row>
    <row r="142">
      <c r="C142">
        <f>IFERROR(VLOOKUP(B142,Workers!$A:$H,2,FALSE),"")</f>
        <v/>
      </c>
      <c r="E142">
        <f>IFERROR(VLOOKUP(D142,Jobs!$A:$G,2,FALSE),"")</f>
        <v/>
      </c>
      <c r="F142" s="25" t="n"/>
      <c r="G142" s="26" t="n"/>
      <c r="H142" s="26" t="n"/>
      <c r="J142" s="27">
        <f>IF(OR(G142="",H142=""),"",MAX(0,(H142-G142)*24-(I142/60)))</f>
        <v/>
      </c>
      <c r="K142" s="28">
        <f>IFERROR(VLOOKUP(D142,Jobs!$A:$G,5,FALSE),"")</f>
        <v/>
      </c>
      <c r="L142" s="28">
        <f>IF(OR(J142="",K142=""),"",J142*K142)</f>
        <v/>
      </c>
      <c r="M142" s="28" t="n"/>
      <c r="N142" s="28" t="n"/>
      <c r="O142" s="28">
        <f>IF(L142="","",L142+M142-N142)</f>
        <v/>
      </c>
      <c r="Q142" s="29" t="n"/>
      <c r="R142" s="29" t="n"/>
    </row>
    <row r="143">
      <c r="C143">
        <f>IFERROR(VLOOKUP(B143,Workers!$A:$H,2,FALSE),"")</f>
        <v/>
      </c>
      <c r="E143">
        <f>IFERROR(VLOOKUP(D143,Jobs!$A:$G,2,FALSE),"")</f>
        <v/>
      </c>
      <c r="F143" s="25" t="n"/>
      <c r="G143" s="26" t="n"/>
      <c r="H143" s="26" t="n"/>
      <c r="J143" s="27">
        <f>IF(OR(G143="",H143=""),"",MAX(0,(H143-G143)*24-(I143/60)))</f>
        <v/>
      </c>
      <c r="K143" s="28">
        <f>IFERROR(VLOOKUP(D143,Jobs!$A:$G,5,FALSE),"")</f>
        <v/>
      </c>
      <c r="L143" s="28">
        <f>IF(OR(J143="",K143=""),"",J143*K143)</f>
        <v/>
      </c>
      <c r="M143" s="28" t="n"/>
      <c r="N143" s="28" t="n"/>
      <c r="O143" s="28">
        <f>IF(L143="","",L143+M143-N143)</f>
        <v/>
      </c>
      <c r="Q143" s="29" t="n"/>
      <c r="R143" s="29" t="n"/>
    </row>
    <row r="144">
      <c r="C144">
        <f>IFERROR(VLOOKUP(B144,Workers!$A:$H,2,FALSE),"")</f>
        <v/>
      </c>
      <c r="E144">
        <f>IFERROR(VLOOKUP(D144,Jobs!$A:$G,2,FALSE),"")</f>
        <v/>
      </c>
      <c r="F144" s="25" t="n"/>
      <c r="G144" s="26" t="n"/>
      <c r="H144" s="26" t="n"/>
      <c r="J144" s="27">
        <f>IF(OR(G144="",H144=""),"",MAX(0,(H144-G144)*24-(I144/60)))</f>
        <v/>
      </c>
      <c r="K144" s="28">
        <f>IFERROR(VLOOKUP(D144,Jobs!$A:$G,5,FALSE),"")</f>
        <v/>
      </c>
      <c r="L144" s="28">
        <f>IF(OR(J144="",K144=""),"",J144*K144)</f>
        <v/>
      </c>
      <c r="M144" s="28" t="n"/>
      <c r="N144" s="28" t="n"/>
      <c r="O144" s="28">
        <f>IF(L144="","",L144+M144-N144)</f>
        <v/>
      </c>
      <c r="Q144" s="29" t="n"/>
      <c r="R144" s="29" t="n"/>
    </row>
    <row r="145">
      <c r="C145">
        <f>IFERROR(VLOOKUP(B145,Workers!$A:$H,2,FALSE),"")</f>
        <v/>
      </c>
      <c r="E145">
        <f>IFERROR(VLOOKUP(D145,Jobs!$A:$G,2,FALSE),"")</f>
        <v/>
      </c>
      <c r="F145" s="25" t="n"/>
      <c r="G145" s="26" t="n"/>
      <c r="H145" s="26" t="n"/>
      <c r="J145" s="27">
        <f>IF(OR(G145="",H145=""),"",MAX(0,(H145-G145)*24-(I145/60)))</f>
        <v/>
      </c>
      <c r="K145" s="28">
        <f>IFERROR(VLOOKUP(D145,Jobs!$A:$G,5,FALSE),"")</f>
        <v/>
      </c>
      <c r="L145" s="28">
        <f>IF(OR(J145="",K145=""),"",J145*K145)</f>
        <v/>
      </c>
      <c r="M145" s="28" t="n"/>
      <c r="N145" s="28" t="n"/>
      <c r="O145" s="28">
        <f>IF(L145="","",L145+M145-N145)</f>
        <v/>
      </c>
      <c r="Q145" s="29" t="n"/>
      <c r="R145" s="29" t="n"/>
    </row>
    <row r="146">
      <c r="C146">
        <f>IFERROR(VLOOKUP(B146,Workers!$A:$H,2,FALSE),"")</f>
        <v/>
      </c>
      <c r="E146">
        <f>IFERROR(VLOOKUP(D146,Jobs!$A:$G,2,FALSE),"")</f>
        <v/>
      </c>
      <c r="F146" s="25" t="n"/>
      <c r="G146" s="26" t="n"/>
      <c r="H146" s="26" t="n"/>
      <c r="J146" s="27">
        <f>IF(OR(G146="",H146=""),"",MAX(0,(H146-G146)*24-(I146/60)))</f>
        <v/>
      </c>
      <c r="K146" s="28">
        <f>IFERROR(VLOOKUP(D146,Jobs!$A:$G,5,FALSE),"")</f>
        <v/>
      </c>
      <c r="L146" s="28">
        <f>IF(OR(J146="",K146=""),"",J146*K146)</f>
        <v/>
      </c>
      <c r="M146" s="28" t="n"/>
      <c r="N146" s="28" t="n"/>
      <c r="O146" s="28">
        <f>IF(L146="","",L146+M146-N146)</f>
        <v/>
      </c>
      <c r="Q146" s="29" t="n"/>
      <c r="R146" s="29" t="n"/>
    </row>
    <row r="147">
      <c r="C147">
        <f>IFERROR(VLOOKUP(B147,Workers!$A:$H,2,FALSE),"")</f>
        <v/>
      </c>
      <c r="E147">
        <f>IFERROR(VLOOKUP(D147,Jobs!$A:$G,2,FALSE),"")</f>
        <v/>
      </c>
      <c r="F147" s="25" t="n"/>
      <c r="G147" s="26" t="n"/>
      <c r="H147" s="26" t="n"/>
      <c r="J147" s="27">
        <f>IF(OR(G147="",H147=""),"",MAX(0,(H147-G147)*24-(I147/60)))</f>
        <v/>
      </c>
      <c r="K147" s="28">
        <f>IFERROR(VLOOKUP(D147,Jobs!$A:$G,5,FALSE),"")</f>
        <v/>
      </c>
      <c r="L147" s="28">
        <f>IF(OR(J147="",K147=""),"",J147*K147)</f>
        <v/>
      </c>
      <c r="M147" s="28" t="n"/>
      <c r="N147" s="28" t="n"/>
      <c r="O147" s="28">
        <f>IF(L147="","",L147+M147-N147)</f>
        <v/>
      </c>
      <c r="Q147" s="29" t="n"/>
      <c r="R147" s="29" t="n"/>
    </row>
    <row r="148">
      <c r="C148">
        <f>IFERROR(VLOOKUP(B148,Workers!$A:$H,2,FALSE),"")</f>
        <v/>
      </c>
      <c r="E148">
        <f>IFERROR(VLOOKUP(D148,Jobs!$A:$G,2,FALSE),"")</f>
        <v/>
      </c>
      <c r="F148" s="25" t="n"/>
      <c r="G148" s="26" t="n"/>
      <c r="H148" s="26" t="n"/>
      <c r="J148" s="27">
        <f>IF(OR(G148="",H148=""),"",MAX(0,(H148-G148)*24-(I148/60)))</f>
        <v/>
      </c>
      <c r="K148" s="28">
        <f>IFERROR(VLOOKUP(D148,Jobs!$A:$G,5,FALSE),"")</f>
        <v/>
      </c>
      <c r="L148" s="28">
        <f>IF(OR(J148="",K148=""),"",J148*K148)</f>
        <v/>
      </c>
      <c r="M148" s="28" t="n"/>
      <c r="N148" s="28" t="n"/>
      <c r="O148" s="28">
        <f>IF(L148="","",L148+M148-N148)</f>
        <v/>
      </c>
      <c r="Q148" s="29" t="n"/>
      <c r="R148" s="29" t="n"/>
    </row>
    <row r="149">
      <c r="C149">
        <f>IFERROR(VLOOKUP(B149,Workers!$A:$H,2,FALSE),"")</f>
        <v/>
      </c>
      <c r="E149">
        <f>IFERROR(VLOOKUP(D149,Jobs!$A:$G,2,FALSE),"")</f>
        <v/>
      </c>
      <c r="F149" s="25" t="n"/>
      <c r="G149" s="26" t="n"/>
      <c r="H149" s="26" t="n"/>
      <c r="J149" s="27">
        <f>IF(OR(G149="",H149=""),"",MAX(0,(H149-G149)*24-(I149/60)))</f>
        <v/>
      </c>
      <c r="K149" s="28">
        <f>IFERROR(VLOOKUP(D149,Jobs!$A:$G,5,FALSE),"")</f>
        <v/>
      </c>
      <c r="L149" s="28">
        <f>IF(OR(J149="",K149=""),"",J149*K149)</f>
        <v/>
      </c>
      <c r="M149" s="28" t="n"/>
      <c r="N149" s="28" t="n"/>
      <c r="O149" s="28">
        <f>IF(L149="","",L149+M149-N149)</f>
        <v/>
      </c>
      <c r="Q149" s="29" t="n"/>
      <c r="R149" s="29" t="n"/>
    </row>
    <row r="150">
      <c r="C150">
        <f>IFERROR(VLOOKUP(B150,Workers!$A:$H,2,FALSE),"")</f>
        <v/>
      </c>
      <c r="E150">
        <f>IFERROR(VLOOKUP(D150,Jobs!$A:$G,2,FALSE),"")</f>
        <v/>
      </c>
      <c r="F150" s="25" t="n"/>
      <c r="G150" s="26" t="n"/>
      <c r="H150" s="26" t="n"/>
      <c r="J150" s="27">
        <f>IF(OR(G150="",H150=""),"",MAX(0,(H150-G150)*24-(I150/60)))</f>
        <v/>
      </c>
      <c r="K150" s="28">
        <f>IFERROR(VLOOKUP(D150,Jobs!$A:$G,5,FALSE),"")</f>
        <v/>
      </c>
      <c r="L150" s="28">
        <f>IF(OR(J150="",K150=""),"",J150*K150)</f>
        <v/>
      </c>
      <c r="M150" s="28" t="n"/>
      <c r="N150" s="28" t="n"/>
      <c r="O150" s="28">
        <f>IF(L150="","",L150+M150-N150)</f>
        <v/>
      </c>
      <c r="Q150" s="29" t="n"/>
      <c r="R150" s="29" t="n"/>
    </row>
    <row r="151">
      <c r="C151">
        <f>IFERROR(VLOOKUP(B151,Workers!$A:$H,2,FALSE),"")</f>
        <v/>
      </c>
      <c r="E151">
        <f>IFERROR(VLOOKUP(D151,Jobs!$A:$G,2,FALSE),"")</f>
        <v/>
      </c>
      <c r="F151" s="25" t="n"/>
      <c r="G151" s="26" t="n"/>
      <c r="H151" s="26" t="n"/>
      <c r="J151" s="27">
        <f>IF(OR(G151="",H151=""),"",MAX(0,(H151-G151)*24-(I151/60)))</f>
        <v/>
      </c>
      <c r="K151" s="28">
        <f>IFERROR(VLOOKUP(D151,Jobs!$A:$G,5,FALSE),"")</f>
        <v/>
      </c>
      <c r="L151" s="28">
        <f>IF(OR(J151="",K151=""),"",J151*K151)</f>
        <v/>
      </c>
      <c r="M151" s="28" t="n"/>
      <c r="N151" s="28" t="n"/>
      <c r="O151" s="28">
        <f>IF(L151="","",L151+M151-N151)</f>
        <v/>
      </c>
      <c r="Q151" s="29" t="n"/>
      <c r="R151" s="29" t="n"/>
    </row>
    <row r="152">
      <c r="C152">
        <f>IFERROR(VLOOKUP(B152,Workers!$A:$H,2,FALSE),"")</f>
        <v/>
      </c>
      <c r="E152">
        <f>IFERROR(VLOOKUP(D152,Jobs!$A:$G,2,FALSE),"")</f>
        <v/>
      </c>
      <c r="F152" s="25" t="n"/>
      <c r="G152" s="26" t="n"/>
      <c r="H152" s="26" t="n"/>
      <c r="J152" s="27">
        <f>IF(OR(G152="",H152=""),"",MAX(0,(H152-G152)*24-(I152/60)))</f>
        <v/>
      </c>
      <c r="K152" s="28">
        <f>IFERROR(VLOOKUP(D152,Jobs!$A:$G,5,FALSE),"")</f>
        <v/>
      </c>
      <c r="L152" s="28">
        <f>IF(OR(J152="",K152=""),"",J152*K152)</f>
        <v/>
      </c>
      <c r="M152" s="28" t="n"/>
      <c r="N152" s="28" t="n"/>
      <c r="O152" s="28">
        <f>IF(L152="","",L152+M152-N152)</f>
        <v/>
      </c>
      <c r="Q152" s="29" t="n"/>
      <c r="R152" s="29" t="n"/>
    </row>
    <row r="153">
      <c r="C153">
        <f>IFERROR(VLOOKUP(B153,Workers!$A:$H,2,FALSE),"")</f>
        <v/>
      </c>
      <c r="E153">
        <f>IFERROR(VLOOKUP(D153,Jobs!$A:$G,2,FALSE),"")</f>
        <v/>
      </c>
      <c r="F153" s="25" t="n"/>
      <c r="G153" s="26" t="n"/>
      <c r="H153" s="26" t="n"/>
      <c r="J153" s="27">
        <f>IF(OR(G153="",H153=""),"",MAX(0,(H153-G153)*24-(I153/60)))</f>
        <v/>
      </c>
      <c r="K153" s="28">
        <f>IFERROR(VLOOKUP(D153,Jobs!$A:$G,5,FALSE),"")</f>
        <v/>
      </c>
      <c r="L153" s="28">
        <f>IF(OR(J153="",K153=""),"",J153*K153)</f>
        <v/>
      </c>
      <c r="M153" s="28" t="n"/>
      <c r="N153" s="28" t="n"/>
      <c r="O153" s="28">
        <f>IF(L153="","",L153+M153-N153)</f>
        <v/>
      </c>
      <c r="Q153" s="29" t="n"/>
      <c r="R153" s="29" t="n"/>
    </row>
    <row r="154">
      <c r="C154">
        <f>IFERROR(VLOOKUP(B154,Workers!$A:$H,2,FALSE),"")</f>
        <v/>
      </c>
      <c r="E154">
        <f>IFERROR(VLOOKUP(D154,Jobs!$A:$G,2,FALSE),"")</f>
        <v/>
      </c>
      <c r="F154" s="25" t="n"/>
      <c r="G154" s="26" t="n"/>
      <c r="H154" s="26" t="n"/>
      <c r="J154" s="27">
        <f>IF(OR(G154="",H154=""),"",MAX(0,(H154-G154)*24-(I154/60)))</f>
        <v/>
      </c>
      <c r="K154" s="28">
        <f>IFERROR(VLOOKUP(D154,Jobs!$A:$G,5,FALSE),"")</f>
        <v/>
      </c>
      <c r="L154" s="28">
        <f>IF(OR(J154="",K154=""),"",J154*K154)</f>
        <v/>
      </c>
      <c r="M154" s="28" t="n"/>
      <c r="N154" s="28" t="n"/>
      <c r="O154" s="28">
        <f>IF(L154="","",L154+M154-N154)</f>
        <v/>
      </c>
      <c r="Q154" s="29" t="n"/>
      <c r="R154" s="29" t="n"/>
    </row>
    <row r="155">
      <c r="C155">
        <f>IFERROR(VLOOKUP(B155,Workers!$A:$H,2,FALSE),"")</f>
        <v/>
      </c>
      <c r="E155">
        <f>IFERROR(VLOOKUP(D155,Jobs!$A:$G,2,FALSE),"")</f>
        <v/>
      </c>
      <c r="F155" s="25" t="n"/>
      <c r="G155" s="26" t="n"/>
      <c r="H155" s="26" t="n"/>
      <c r="J155" s="27">
        <f>IF(OR(G155="",H155=""),"",MAX(0,(H155-G155)*24-(I155/60)))</f>
        <v/>
      </c>
      <c r="K155" s="28">
        <f>IFERROR(VLOOKUP(D155,Jobs!$A:$G,5,FALSE),"")</f>
        <v/>
      </c>
      <c r="L155" s="28">
        <f>IF(OR(J155="",K155=""),"",J155*K155)</f>
        <v/>
      </c>
      <c r="M155" s="28" t="n"/>
      <c r="N155" s="28" t="n"/>
      <c r="O155" s="28">
        <f>IF(L155="","",L155+M155-N155)</f>
        <v/>
      </c>
      <c r="Q155" s="29" t="n"/>
      <c r="R155" s="29" t="n"/>
    </row>
    <row r="156">
      <c r="C156">
        <f>IFERROR(VLOOKUP(B156,Workers!$A:$H,2,FALSE),"")</f>
        <v/>
      </c>
      <c r="E156">
        <f>IFERROR(VLOOKUP(D156,Jobs!$A:$G,2,FALSE),"")</f>
        <v/>
      </c>
      <c r="F156" s="25" t="n"/>
      <c r="G156" s="26" t="n"/>
      <c r="H156" s="26" t="n"/>
      <c r="J156" s="27">
        <f>IF(OR(G156="",H156=""),"",MAX(0,(H156-G156)*24-(I156/60)))</f>
        <v/>
      </c>
      <c r="K156" s="28">
        <f>IFERROR(VLOOKUP(D156,Jobs!$A:$G,5,FALSE),"")</f>
        <v/>
      </c>
      <c r="L156" s="28">
        <f>IF(OR(J156="",K156=""),"",J156*K156)</f>
        <v/>
      </c>
      <c r="M156" s="28" t="n"/>
      <c r="N156" s="28" t="n"/>
      <c r="O156" s="28">
        <f>IF(L156="","",L156+M156-N156)</f>
        <v/>
      </c>
      <c r="Q156" s="29" t="n"/>
      <c r="R156" s="29" t="n"/>
    </row>
    <row r="157">
      <c r="C157">
        <f>IFERROR(VLOOKUP(B157,Workers!$A:$H,2,FALSE),"")</f>
        <v/>
      </c>
      <c r="E157">
        <f>IFERROR(VLOOKUP(D157,Jobs!$A:$G,2,FALSE),"")</f>
        <v/>
      </c>
      <c r="F157" s="25" t="n"/>
      <c r="G157" s="26" t="n"/>
      <c r="H157" s="26" t="n"/>
      <c r="J157" s="27">
        <f>IF(OR(G157="",H157=""),"",MAX(0,(H157-G157)*24-(I157/60)))</f>
        <v/>
      </c>
      <c r="K157" s="28">
        <f>IFERROR(VLOOKUP(D157,Jobs!$A:$G,5,FALSE),"")</f>
        <v/>
      </c>
      <c r="L157" s="28">
        <f>IF(OR(J157="",K157=""),"",J157*K157)</f>
        <v/>
      </c>
      <c r="M157" s="28" t="n"/>
      <c r="N157" s="28" t="n"/>
      <c r="O157" s="28">
        <f>IF(L157="","",L157+M157-N157)</f>
        <v/>
      </c>
      <c r="Q157" s="29" t="n"/>
      <c r="R157" s="29" t="n"/>
    </row>
    <row r="158">
      <c r="C158">
        <f>IFERROR(VLOOKUP(B158,Workers!$A:$H,2,FALSE),"")</f>
        <v/>
      </c>
      <c r="E158">
        <f>IFERROR(VLOOKUP(D158,Jobs!$A:$G,2,FALSE),"")</f>
        <v/>
      </c>
      <c r="F158" s="25" t="n"/>
      <c r="G158" s="26" t="n"/>
      <c r="H158" s="26" t="n"/>
      <c r="J158" s="27">
        <f>IF(OR(G158="",H158=""),"",MAX(0,(H158-G158)*24-(I158/60)))</f>
        <v/>
      </c>
      <c r="K158" s="28">
        <f>IFERROR(VLOOKUP(D158,Jobs!$A:$G,5,FALSE),"")</f>
        <v/>
      </c>
      <c r="L158" s="28">
        <f>IF(OR(J158="",K158=""),"",J158*K158)</f>
        <v/>
      </c>
      <c r="M158" s="28" t="n"/>
      <c r="N158" s="28" t="n"/>
      <c r="O158" s="28">
        <f>IF(L158="","",L158+M158-N158)</f>
        <v/>
      </c>
      <c r="Q158" s="29" t="n"/>
      <c r="R158" s="29" t="n"/>
    </row>
    <row r="159">
      <c r="C159">
        <f>IFERROR(VLOOKUP(B159,Workers!$A:$H,2,FALSE),"")</f>
        <v/>
      </c>
      <c r="E159">
        <f>IFERROR(VLOOKUP(D159,Jobs!$A:$G,2,FALSE),"")</f>
        <v/>
      </c>
      <c r="F159" s="25" t="n"/>
      <c r="G159" s="26" t="n"/>
      <c r="H159" s="26" t="n"/>
      <c r="J159" s="27">
        <f>IF(OR(G159="",H159=""),"",MAX(0,(H159-G159)*24-(I159/60)))</f>
        <v/>
      </c>
      <c r="K159" s="28">
        <f>IFERROR(VLOOKUP(D159,Jobs!$A:$G,5,FALSE),"")</f>
        <v/>
      </c>
      <c r="L159" s="28">
        <f>IF(OR(J159="",K159=""),"",J159*K159)</f>
        <v/>
      </c>
      <c r="M159" s="28" t="n"/>
      <c r="N159" s="28" t="n"/>
      <c r="O159" s="28">
        <f>IF(L159="","",L159+M159-N159)</f>
        <v/>
      </c>
      <c r="Q159" s="29" t="n"/>
      <c r="R159" s="29" t="n"/>
    </row>
    <row r="160">
      <c r="C160">
        <f>IFERROR(VLOOKUP(B160,Workers!$A:$H,2,FALSE),"")</f>
        <v/>
      </c>
      <c r="E160">
        <f>IFERROR(VLOOKUP(D160,Jobs!$A:$G,2,FALSE),"")</f>
        <v/>
      </c>
      <c r="F160" s="25" t="n"/>
      <c r="G160" s="26" t="n"/>
      <c r="H160" s="26" t="n"/>
      <c r="J160" s="27">
        <f>IF(OR(G160="",H160=""),"",MAX(0,(H160-G160)*24-(I160/60)))</f>
        <v/>
      </c>
      <c r="K160" s="28">
        <f>IFERROR(VLOOKUP(D160,Jobs!$A:$G,5,FALSE),"")</f>
        <v/>
      </c>
      <c r="L160" s="28">
        <f>IF(OR(J160="",K160=""),"",J160*K160)</f>
        <v/>
      </c>
      <c r="M160" s="28" t="n"/>
      <c r="N160" s="28" t="n"/>
      <c r="O160" s="28">
        <f>IF(L160="","",L160+M160-N160)</f>
        <v/>
      </c>
      <c r="Q160" s="29" t="n"/>
      <c r="R160" s="29" t="n"/>
    </row>
    <row r="161">
      <c r="C161">
        <f>IFERROR(VLOOKUP(B161,Workers!$A:$H,2,FALSE),"")</f>
        <v/>
      </c>
      <c r="E161">
        <f>IFERROR(VLOOKUP(D161,Jobs!$A:$G,2,FALSE),"")</f>
        <v/>
      </c>
      <c r="F161" s="25" t="n"/>
      <c r="G161" s="26" t="n"/>
      <c r="H161" s="26" t="n"/>
      <c r="J161" s="27">
        <f>IF(OR(G161="",H161=""),"",MAX(0,(H161-G161)*24-(I161/60)))</f>
        <v/>
      </c>
      <c r="K161" s="28">
        <f>IFERROR(VLOOKUP(D161,Jobs!$A:$G,5,FALSE),"")</f>
        <v/>
      </c>
      <c r="L161" s="28">
        <f>IF(OR(J161="",K161=""),"",J161*K161)</f>
        <v/>
      </c>
      <c r="M161" s="28" t="n"/>
      <c r="N161" s="28" t="n"/>
      <c r="O161" s="28">
        <f>IF(L161="","",L161+M161-N161)</f>
        <v/>
      </c>
      <c r="Q161" s="29" t="n"/>
      <c r="R161" s="29" t="n"/>
    </row>
    <row r="162">
      <c r="C162">
        <f>IFERROR(VLOOKUP(B162,Workers!$A:$H,2,FALSE),"")</f>
        <v/>
      </c>
      <c r="E162">
        <f>IFERROR(VLOOKUP(D162,Jobs!$A:$G,2,FALSE),"")</f>
        <v/>
      </c>
      <c r="F162" s="25" t="n"/>
      <c r="G162" s="26" t="n"/>
      <c r="H162" s="26" t="n"/>
      <c r="J162" s="27">
        <f>IF(OR(G162="",H162=""),"",MAX(0,(H162-G162)*24-(I162/60)))</f>
        <v/>
      </c>
      <c r="K162" s="28">
        <f>IFERROR(VLOOKUP(D162,Jobs!$A:$G,5,FALSE),"")</f>
        <v/>
      </c>
      <c r="L162" s="28">
        <f>IF(OR(J162="",K162=""),"",J162*K162)</f>
        <v/>
      </c>
      <c r="M162" s="28" t="n"/>
      <c r="N162" s="28" t="n"/>
      <c r="O162" s="28">
        <f>IF(L162="","",L162+M162-N162)</f>
        <v/>
      </c>
      <c r="Q162" s="29" t="n"/>
      <c r="R162" s="29" t="n"/>
    </row>
    <row r="163">
      <c r="C163">
        <f>IFERROR(VLOOKUP(B163,Workers!$A:$H,2,FALSE),"")</f>
        <v/>
      </c>
      <c r="E163">
        <f>IFERROR(VLOOKUP(D163,Jobs!$A:$G,2,FALSE),"")</f>
        <v/>
      </c>
      <c r="F163" s="25" t="n"/>
      <c r="G163" s="26" t="n"/>
      <c r="H163" s="26" t="n"/>
      <c r="J163" s="27">
        <f>IF(OR(G163="",H163=""),"",MAX(0,(H163-G163)*24-(I163/60)))</f>
        <v/>
      </c>
      <c r="K163" s="28">
        <f>IFERROR(VLOOKUP(D163,Jobs!$A:$G,5,FALSE),"")</f>
        <v/>
      </c>
      <c r="L163" s="28">
        <f>IF(OR(J163="",K163=""),"",J163*K163)</f>
        <v/>
      </c>
      <c r="M163" s="28" t="n"/>
      <c r="N163" s="28" t="n"/>
      <c r="O163" s="28">
        <f>IF(L163="","",L163+M163-N163)</f>
        <v/>
      </c>
      <c r="Q163" s="29" t="n"/>
      <c r="R163" s="29" t="n"/>
    </row>
    <row r="164">
      <c r="C164">
        <f>IFERROR(VLOOKUP(B164,Workers!$A:$H,2,FALSE),"")</f>
        <v/>
      </c>
      <c r="E164">
        <f>IFERROR(VLOOKUP(D164,Jobs!$A:$G,2,FALSE),"")</f>
        <v/>
      </c>
      <c r="F164" s="25" t="n"/>
      <c r="G164" s="26" t="n"/>
      <c r="H164" s="26" t="n"/>
      <c r="J164" s="27">
        <f>IF(OR(G164="",H164=""),"",MAX(0,(H164-G164)*24-(I164/60)))</f>
        <v/>
      </c>
      <c r="K164" s="28">
        <f>IFERROR(VLOOKUP(D164,Jobs!$A:$G,5,FALSE),"")</f>
        <v/>
      </c>
      <c r="L164" s="28">
        <f>IF(OR(J164="",K164=""),"",J164*K164)</f>
        <v/>
      </c>
      <c r="M164" s="28" t="n"/>
      <c r="N164" s="28" t="n"/>
      <c r="O164" s="28">
        <f>IF(L164="","",L164+M164-N164)</f>
        <v/>
      </c>
      <c r="Q164" s="29" t="n"/>
      <c r="R164" s="29" t="n"/>
    </row>
    <row r="165">
      <c r="C165">
        <f>IFERROR(VLOOKUP(B165,Workers!$A:$H,2,FALSE),"")</f>
        <v/>
      </c>
      <c r="E165">
        <f>IFERROR(VLOOKUP(D165,Jobs!$A:$G,2,FALSE),"")</f>
        <v/>
      </c>
      <c r="F165" s="25" t="n"/>
      <c r="G165" s="26" t="n"/>
      <c r="H165" s="26" t="n"/>
      <c r="J165" s="27">
        <f>IF(OR(G165="",H165=""),"",MAX(0,(H165-G165)*24-(I165/60)))</f>
        <v/>
      </c>
      <c r="K165" s="28">
        <f>IFERROR(VLOOKUP(D165,Jobs!$A:$G,5,FALSE),"")</f>
        <v/>
      </c>
      <c r="L165" s="28">
        <f>IF(OR(J165="",K165=""),"",J165*K165)</f>
        <v/>
      </c>
      <c r="M165" s="28" t="n"/>
      <c r="N165" s="28" t="n"/>
      <c r="O165" s="28">
        <f>IF(L165="","",L165+M165-N165)</f>
        <v/>
      </c>
      <c r="Q165" s="29" t="n"/>
      <c r="R165" s="29" t="n"/>
    </row>
    <row r="166">
      <c r="C166">
        <f>IFERROR(VLOOKUP(B166,Workers!$A:$H,2,FALSE),"")</f>
        <v/>
      </c>
      <c r="E166">
        <f>IFERROR(VLOOKUP(D166,Jobs!$A:$G,2,FALSE),"")</f>
        <v/>
      </c>
      <c r="F166" s="25" t="n"/>
      <c r="G166" s="26" t="n"/>
      <c r="H166" s="26" t="n"/>
      <c r="J166" s="27">
        <f>IF(OR(G166="",H166=""),"",MAX(0,(H166-G166)*24-(I166/60)))</f>
        <v/>
      </c>
      <c r="K166" s="28">
        <f>IFERROR(VLOOKUP(D166,Jobs!$A:$G,5,FALSE),"")</f>
        <v/>
      </c>
      <c r="L166" s="28">
        <f>IF(OR(J166="",K166=""),"",J166*K166)</f>
        <v/>
      </c>
      <c r="M166" s="28" t="n"/>
      <c r="N166" s="28" t="n"/>
      <c r="O166" s="28">
        <f>IF(L166="","",L166+M166-N166)</f>
        <v/>
      </c>
      <c r="Q166" s="29" t="n"/>
      <c r="R166" s="29" t="n"/>
    </row>
    <row r="167">
      <c r="C167">
        <f>IFERROR(VLOOKUP(B167,Workers!$A:$H,2,FALSE),"")</f>
        <v/>
      </c>
      <c r="E167">
        <f>IFERROR(VLOOKUP(D167,Jobs!$A:$G,2,FALSE),"")</f>
        <v/>
      </c>
      <c r="F167" s="25" t="n"/>
      <c r="G167" s="26" t="n"/>
      <c r="H167" s="26" t="n"/>
      <c r="J167" s="27">
        <f>IF(OR(G167="",H167=""),"",MAX(0,(H167-G167)*24-(I167/60)))</f>
        <v/>
      </c>
      <c r="K167" s="28">
        <f>IFERROR(VLOOKUP(D167,Jobs!$A:$G,5,FALSE),"")</f>
        <v/>
      </c>
      <c r="L167" s="28">
        <f>IF(OR(J167="",K167=""),"",J167*K167)</f>
        <v/>
      </c>
      <c r="M167" s="28" t="n"/>
      <c r="N167" s="28" t="n"/>
      <c r="O167" s="28">
        <f>IF(L167="","",L167+M167-N167)</f>
        <v/>
      </c>
      <c r="Q167" s="29" t="n"/>
      <c r="R167" s="29" t="n"/>
    </row>
    <row r="168">
      <c r="C168">
        <f>IFERROR(VLOOKUP(B168,Workers!$A:$H,2,FALSE),"")</f>
        <v/>
      </c>
      <c r="E168">
        <f>IFERROR(VLOOKUP(D168,Jobs!$A:$G,2,FALSE),"")</f>
        <v/>
      </c>
      <c r="F168" s="25" t="n"/>
      <c r="G168" s="26" t="n"/>
      <c r="H168" s="26" t="n"/>
      <c r="J168" s="27">
        <f>IF(OR(G168="",H168=""),"",MAX(0,(H168-G168)*24-(I168/60)))</f>
        <v/>
      </c>
      <c r="K168" s="28">
        <f>IFERROR(VLOOKUP(D168,Jobs!$A:$G,5,FALSE),"")</f>
        <v/>
      </c>
      <c r="L168" s="28">
        <f>IF(OR(J168="",K168=""),"",J168*K168)</f>
        <v/>
      </c>
      <c r="M168" s="28" t="n"/>
      <c r="N168" s="28" t="n"/>
      <c r="O168" s="28">
        <f>IF(L168="","",L168+M168-N168)</f>
        <v/>
      </c>
      <c r="Q168" s="29" t="n"/>
      <c r="R168" s="29" t="n"/>
    </row>
    <row r="169">
      <c r="C169">
        <f>IFERROR(VLOOKUP(B169,Workers!$A:$H,2,FALSE),"")</f>
        <v/>
      </c>
      <c r="E169">
        <f>IFERROR(VLOOKUP(D169,Jobs!$A:$G,2,FALSE),"")</f>
        <v/>
      </c>
      <c r="F169" s="25" t="n"/>
      <c r="G169" s="26" t="n"/>
      <c r="H169" s="26" t="n"/>
      <c r="J169" s="27">
        <f>IF(OR(G169="",H169=""),"",MAX(0,(H169-G169)*24-(I169/60)))</f>
        <v/>
      </c>
      <c r="K169" s="28">
        <f>IFERROR(VLOOKUP(D169,Jobs!$A:$G,5,FALSE),"")</f>
        <v/>
      </c>
      <c r="L169" s="28">
        <f>IF(OR(J169="",K169=""),"",J169*K169)</f>
        <v/>
      </c>
      <c r="M169" s="28" t="n"/>
      <c r="N169" s="28" t="n"/>
      <c r="O169" s="28">
        <f>IF(L169="","",L169+M169-N169)</f>
        <v/>
      </c>
      <c r="Q169" s="29" t="n"/>
      <c r="R169" s="29" t="n"/>
    </row>
    <row r="170">
      <c r="C170">
        <f>IFERROR(VLOOKUP(B170,Workers!$A:$H,2,FALSE),"")</f>
        <v/>
      </c>
      <c r="E170">
        <f>IFERROR(VLOOKUP(D170,Jobs!$A:$G,2,FALSE),"")</f>
        <v/>
      </c>
      <c r="F170" s="25" t="n"/>
      <c r="G170" s="26" t="n"/>
      <c r="H170" s="26" t="n"/>
      <c r="J170" s="27">
        <f>IF(OR(G170="",H170=""),"",MAX(0,(H170-G170)*24-(I170/60)))</f>
        <v/>
      </c>
      <c r="K170" s="28">
        <f>IFERROR(VLOOKUP(D170,Jobs!$A:$G,5,FALSE),"")</f>
        <v/>
      </c>
      <c r="L170" s="28">
        <f>IF(OR(J170="",K170=""),"",J170*K170)</f>
        <v/>
      </c>
      <c r="M170" s="28" t="n"/>
      <c r="N170" s="28" t="n"/>
      <c r="O170" s="28">
        <f>IF(L170="","",L170+M170-N170)</f>
        <v/>
      </c>
      <c r="Q170" s="29" t="n"/>
      <c r="R170" s="29" t="n"/>
    </row>
    <row r="171">
      <c r="C171">
        <f>IFERROR(VLOOKUP(B171,Workers!$A:$H,2,FALSE),"")</f>
        <v/>
      </c>
      <c r="E171">
        <f>IFERROR(VLOOKUP(D171,Jobs!$A:$G,2,FALSE),"")</f>
        <v/>
      </c>
      <c r="F171" s="25" t="n"/>
      <c r="G171" s="26" t="n"/>
      <c r="H171" s="26" t="n"/>
      <c r="J171" s="27">
        <f>IF(OR(G171="",H171=""),"",MAX(0,(H171-G171)*24-(I171/60)))</f>
        <v/>
      </c>
      <c r="K171" s="28">
        <f>IFERROR(VLOOKUP(D171,Jobs!$A:$G,5,FALSE),"")</f>
        <v/>
      </c>
      <c r="L171" s="28">
        <f>IF(OR(J171="",K171=""),"",J171*K171)</f>
        <v/>
      </c>
      <c r="M171" s="28" t="n"/>
      <c r="N171" s="28" t="n"/>
      <c r="O171" s="28">
        <f>IF(L171="","",L171+M171-N171)</f>
        <v/>
      </c>
      <c r="Q171" s="29" t="n"/>
      <c r="R171" s="29" t="n"/>
    </row>
    <row r="172">
      <c r="C172">
        <f>IFERROR(VLOOKUP(B172,Workers!$A:$H,2,FALSE),"")</f>
        <v/>
      </c>
      <c r="E172">
        <f>IFERROR(VLOOKUP(D172,Jobs!$A:$G,2,FALSE),"")</f>
        <v/>
      </c>
      <c r="F172" s="25" t="n"/>
      <c r="G172" s="26" t="n"/>
      <c r="H172" s="26" t="n"/>
      <c r="J172" s="27">
        <f>IF(OR(G172="",H172=""),"",MAX(0,(H172-G172)*24-(I172/60)))</f>
        <v/>
      </c>
      <c r="K172" s="28">
        <f>IFERROR(VLOOKUP(D172,Jobs!$A:$G,5,FALSE),"")</f>
        <v/>
      </c>
      <c r="L172" s="28">
        <f>IF(OR(J172="",K172=""),"",J172*K172)</f>
        <v/>
      </c>
      <c r="M172" s="28" t="n"/>
      <c r="N172" s="28" t="n"/>
      <c r="O172" s="28">
        <f>IF(L172="","",L172+M172-N172)</f>
        <v/>
      </c>
      <c r="Q172" s="29" t="n"/>
      <c r="R172" s="29" t="n"/>
    </row>
    <row r="173">
      <c r="C173">
        <f>IFERROR(VLOOKUP(B173,Workers!$A:$H,2,FALSE),"")</f>
        <v/>
      </c>
      <c r="E173">
        <f>IFERROR(VLOOKUP(D173,Jobs!$A:$G,2,FALSE),"")</f>
        <v/>
      </c>
      <c r="F173" s="25" t="n"/>
      <c r="G173" s="26" t="n"/>
      <c r="H173" s="26" t="n"/>
      <c r="J173" s="27">
        <f>IF(OR(G173="",H173=""),"",MAX(0,(H173-G173)*24-(I173/60)))</f>
        <v/>
      </c>
      <c r="K173" s="28">
        <f>IFERROR(VLOOKUP(D173,Jobs!$A:$G,5,FALSE),"")</f>
        <v/>
      </c>
      <c r="L173" s="28">
        <f>IF(OR(J173="",K173=""),"",J173*K173)</f>
        <v/>
      </c>
      <c r="M173" s="28" t="n"/>
      <c r="N173" s="28" t="n"/>
      <c r="O173" s="28">
        <f>IF(L173="","",L173+M173-N173)</f>
        <v/>
      </c>
      <c r="Q173" s="29" t="n"/>
      <c r="R173" s="29" t="n"/>
    </row>
    <row r="174">
      <c r="C174">
        <f>IFERROR(VLOOKUP(B174,Workers!$A:$H,2,FALSE),"")</f>
        <v/>
      </c>
      <c r="E174">
        <f>IFERROR(VLOOKUP(D174,Jobs!$A:$G,2,FALSE),"")</f>
        <v/>
      </c>
      <c r="F174" s="25" t="n"/>
      <c r="G174" s="26" t="n"/>
      <c r="H174" s="26" t="n"/>
      <c r="J174" s="27">
        <f>IF(OR(G174="",H174=""),"",MAX(0,(H174-G174)*24-(I174/60)))</f>
        <v/>
      </c>
      <c r="K174" s="28">
        <f>IFERROR(VLOOKUP(D174,Jobs!$A:$G,5,FALSE),"")</f>
        <v/>
      </c>
      <c r="L174" s="28">
        <f>IF(OR(J174="",K174=""),"",J174*K174)</f>
        <v/>
      </c>
      <c r="M174" s="28" t="n"/>
      <c r="N174" s="28" t="n"/>
      <c r="O174" s="28">
        <f>IF(L174="","",L174+M174-N174)</f>
        <v/>
      </c>
      <c r="Q174" s="29" t="n"/>
      <c r="R174" s="29" t="n"/>
    </row>
    <row r="175">
      <c r="C175">
        <f>IFERROR(VLOOKUP(B175,Workers!$A:$H,2,FALSE),"")</f>
        <v/>
      </c>
      <c r="E175">
        <f>IFERROR(VLOOKUP(D175,Jobs!$A:$G,2,FALSE),"")</f>
        <v/>
      </c>
      <c r="F175" s="25" t="n"/>
      <c r="G175" s="26" t="n"/>
      <c r="H175" s="26" t="n"/>
      <c r="J175" s="27">
        <f>IF(OR(G175="",H175=""),"",MAX(0,(H175-G175)*24-(I175/60)))</f>
        <v/>
      </c>
      <c r="K175" s="28">
        <f>IFERROR(VLOOKUP(D175,Jobs!$A:$G,5,FALSE),"")</f>
        <v/>
      </c>
      <c r="L175" s="28">
        <f>IF(OR(J175="",K175=""),"",J175*K175)</f>
        <v/>
      </c>
      <c r="M175" s="28" t="n"/>
      <c r="N175" s="28" t="n"/>
      <c r="O175" s="28">
        <f>IF(L175="","",L175+M175-N175)</f>
        <v/>
      </c>
      <c r="Q175" s="29" t="n"/>
      <c r="R175" s="29" t="n"/>
    </row>
    <row r="176">
      <c r="C176">
        <f>IFERROR(VLOOKUP(B176,Workers!$A:$H,2,FALSE),"")</f>
        <v/>
      </c>
      <c r="E176">
        <f>IFERROR(VLOOKUP(D176,Jobs!$A:$G,2,FALSE),"")</f>
        <v/>
      </c>
      <c r="F176" s="25" t="n"/>
      <c r="G176" s="26" t="n"/>
      <c r="H176" s="26" t="n"/>
      <c r="J176" s="27">
        <f>IF(OR(G176="",H176=""),"",MAX(0,(H176-G176)*24-(I176/60)))</f>
        <v/>
      </c>
      <c r="K176" s="28">
        <f>IFERROR(VLOOKUP(D176,Jobs!$A:$G,5,FALSE),"")</f>
        <v/>
      </c>
      <c r="L176" s="28">
        <f>IF(OR(J176="",K176=""),"",J176*K176)</f>
        <v/>
      </c>
      <c r="M176" s="28" t="n"/>
      <c r="N176" s="28" t="n"/>
      <c r="O176" s="28">
        <f>IF(L176="","",L176+M176-N176)</f>
        <v/>
      </c>
      <c r="Q176" s="29" t="n"/>
      <c r="R176" s="29" t="n"/>
    </row>
    <row r="177">
      <c r="C177">
        <f>IFERROR(VLOOKUP(B177,Workers!$A:$H,2,FALSE),"")</f>
        <v/>
      </c>
      <c r="E177">
        <f>IFERROR(VLOOKUP(D177,Jobs!$A:$G,2,FALSE),"")</f>
        <v/>
      </c>
      <c r="F177" s="25" t="n"/>
      <c r="G177" s="26" t="n"/>
      <c r="H177" s="26" t="n"/>
      <c r="J177" s="27">
        <f>IF(OR(G177="",H177=""),"",MAX(0,(H177-G177)*24-(I177/60)))</f>
        <v/>
      </c>
      <c r="K177" s="28">
        <f>IFERROR(VLOOKUP(D177,Jobs!$A:$G,5,FALSE),"")</f>
        <v/>
      </c>
      <c r="L177" s="28">
        <f>IF(OR(J177="",K177=""),"",J177*K177)</f>
        <v/>
      </c>
      <c r="M177" s="28" t="n"/>
      <c r="N177" s="28" t="n"/>
      <c r="O177" s="28">
        <f>IF(L177="","",L177+M177-N177)</f>
        <v/>
      </c>
      <c r="Q177" s="29" t="n"/>
      <c r="R177" s="29" t="n"/>
    </row>
    <row r="178">
      <c r="C178">
        <f>IFERROR(VLOOKUP(B178,Workers!$A:$H,2,FALSE),"")</f>
        <v/>
      </c>
      <c r="E178">
        <f>IFERROR(VLOOKUP(D178,Jobs!$A:$G,2,FALSE),"")</f>
        <v/>
      </c>
      <c r="F178" s="25" t="n"/>
      <c r="G178" s="26" t="n"/>
      <c r="H178" s="26" t="n"/>
      <c r="J178" s="27">
        <f>IF(OR(G178="",H178=""),"",MAX(0,(H178-G178)*24-(I178/60)))</f>
        <v/>
      </c>
      <c r="K178" s="28">
        <f>IFERROR(VLOOKUP(D178,Jobs!$A:$G,5,FALSE),"")</f>
        <v/>
      </c>
      <c r="L178" s="28">
        <f>IF(OR(J178="",K178=""),"",J178*K178)</f>
        <v/>
      </c>
      <c r="M178" s="28" t="n"/>
      <c r="N178" s="28" t="n"/>
      <c r="O178" s="28">
        <f>IF(L178="","",L178+M178-N178)</f>
        <v/>
      </c>
      <c r="Q178" s="29" t="n"/>
      <c r="R178" s="29" t="n"/>
    </row>
    <row r="179">
      <c r="C179">
        <f>IFERROR(VLOOKUP(B179,Workers!$A:$H,2,FALSE),"")</f>
        <v/>
      </c>
      <c r="E179">
        <f>IFERROR(VLOOKUP(D179,Jobs!$A:$G,2,FALSE),"")</f>
        <v/>
      </c>
      <c r="F179" s="25" t="n"/>
      <c r="G179" s="26" t="n"/>
      <c r="H179" s="26" t="n"/>
      <c r="J179" s="27">
        <f>IF(OR(G179="",H179=""),"",MAX(0,(H179-G179)*24-(I179/60)))</f>
        <v/>
      </c>
      <c r="K179" s="28">
        <f>IFERROR(VLOOKUP(D179,Jobs!$A:$G,5,FALSE),"")</f>
        <v/>
      </c>
      <c r="L179" s="28">
        <f>IF(OR(J179="",K179=""),"",J179*K179)</f>
        <v/>
      </c>
      <c r="M179" s="28" t="n"/>
      <c r="N179" s="28" t="n"/>
      <c r="O179" s="28">
        <f>IF(L179="","",L179+M179-N179)</f>
        <v/>
      </c>
      <c r="Q179" s="29" t="n"/>
      <c r="R179" s="29" t="n"/>
    </row>
    <row r="180">
      <c r="C180">
        <f>IFERROR(VLOOKUP(B180,Workers!$A:$H,2,FALSE),"")</f>
        <v/>
      </c>
      <c r="E180">
        <f>IFERROR(VLOOKUP(D180,Jobs!$A:$G,2,FALSE),"")</f>
        <v/>
      </c>
      <c r="F180" s="25" t="n"/>
      <c r="G180" s="26" t="n"/>
      <c r="H180" s="26" t="n"/>
      <c r="J180" s="27">
        <f>IF(OR(G180="",H180=""),"",MAX(0,(H180-G180)*24-(I180/60)))</f>
        <v/>
      </c>
      <c r="K180" s="28">
        <f>IFERROR(VLOOKUP(D180,Jobs!$A:$G,5,FALSE),"")</f>
        <v/>
      </c>
      <c r="L180" s="28">
        <f>IF(OR(J180="",K180=""),"",J180*K180)</f>
        <v/>
      </c>
      <c r="M180" s="28" t="n"/>
      <c r="N180" s="28" t="n"/>
      <c r="O180" s="28">
        <f>IF(L180="","",L180+M180-N180)</f>
        <v/>
      </c>
      <c r="Q180" s="29" t="n"/>
      <c r="R180" s="29" t="n"/>
    </row>
    <row r="181">
      <c r="C181">
        <f>IFERROR(VLOOKUP(B181,Workers!$A:$H,2,FALSE),"")</f>
        <v/>
      </c>
      <c r="E181">
        <f>IFERROR(VLOOKUP(D181,Jobs!$A:$G,2,FALSE),"")</f>
        <v/>
      </c>
      <c r="F181" s="25" t="n"/>
      <c r="G181" s="26" t="n"/>
      <c r="H181" s="26" t="n"/>
      <c r="J181" s="27">
        <f>IF(OR(G181="",H181=""),"",MAX(0,(H181-G181)*24-(I181/60)))</f>
        <v/>
      </c>
      <c r="K181" s="28">
        <f>IFERROR(VLOOKUP(D181,Jobs!$A:$G,5,FALSE),"")</f>
        <v/>
      </c>
      <c r="L181" s="28">
        <f>IF(OR(J181="",K181=""),"",J181*K181)</f>
        <v/>
      </c>
      <c r="M181" s="28" t="n"/>
      <c r="N181" s="28" t="n"/>
      <c r="O181" s="28">
        <f>IF(L181="","",L181+M181-N181)</f>
        <v/>
      </c>
      <c r="Q181" s="29" t="n"/>
      <c r="R181" s="29" t="n"/>
    </row>
    <row r="182">
      <c r="C182">
        <f>IFERROR(VLOOKUP(B182,Workers!$A:$H,2,FALSE),"")</f>
        <v/>
      </c>
      <c r="E182">
        <f>IFERROR(VLOOKUP(D182,Jobs!$A:$G,2,FALSE),"")</f>
        <v/>
      </c>
      <c r="F182" s="25" t="n"/>
      <c r="G182" s="26" t="n"/>
      <c r="H182" s="26" t="n"/>
      <c r="J182" s="27">
        <f>IF(OR(G182="",H182=""),"",MAX(0,(H182-G182)*24-(I182/60)))</f>
        <v/>
      </c>
      <c r="K182" s="28">
        <f>IFERROR(VLOOKUP(D182,Jobs!$A:$G,5,FALSE),"")</f>
        <v/>
      </c>
      <c r="L182" s="28">
        <f>IF(OR(J182="",K182=""),"",J182*K182)</f>
        <v/>
      </c>
      <c r="M182" s="28" t="n"/>
      <c r="N182" s="28" t="n"/>
      <c r="O182" s="28">
        <f>IF(L182="","",L182+M182-N182)</f>
        <v/>
      </c>
      <c r="Q182" s="29" t="n"/>
      <c r="R182" s="29" t="n"/>
    </row>
    <row r="183">
      <c r="C183">
        <f>IFERROR(VLOOKUP(B183,Workers!$A:$H,2,FALSE),"")</f>
        <v/>
      </c>
      <c r="E183">
        <f>IFERROR(VLOOKUP(D183,Jobs!$A:$G,2,FALSE),"")</f>
        <v/>
      </c>
      <c r="F183" s="25" t="n"/>
      <c r="G183" s="26" t="n"/>
      <c r="H183" s="26" t="n"/>
      <c r="J183" s="27">
        <f>IF(OR(G183="",H183=""),"",MAX(0,(H183-G183)*24-(I183/60)))</f>
        <v/>
      </c>
      <c r="K183" s="28">
        <f>IFERROR(VLOOKUP(D183,Jobs!$A:$G,5,FALSE),"")</f>
        <v/>
      </c>
      <c r="L183" s="28">
        <f>IF(OR(J183="",K183=""),"",J183*K183)</f>
        <v/>
      </c>
      <c r="M183" s="28" t="n"/>
      <c r="N183" s="28" t="n"/>
      <c r="O183" s="28">
        <f>IF(L183="","",L183+M183-N183)</f>
        <v/>
      </c>
      <c r="Q183" s="29" t="n"/>
      <c r="R183" s="29" t="n"/>
    </row>
    <row r="184">
      <c r="C184">
        <f>IFERROR(VLOOKUP(B184,Workers!$A:$H,2,FALSE),"")</f>
        <v/>
      </c>
      <c r="E184">
        <f>IFERROR(VLOOKUP(D184,Jobs!$A:$G,2,FALSE),"")</f>
        <v/>
      </c>
      <c r="F184" s="25" t="n"/>
      <c r="G184" s="26" t="n"/>
      <c r="H184" s="26" t="n"/>
      <c r="J184" s="27">
        <f>IF(OR(G184="",H184=""),"",MAX(0,(H184-G184)*24-(I184/60)))</f>
        <v/>
      </c>
      <c r="K184" s="28">
        <f>IFERROR(VLOOKUP(D184,Jobs!$A:$G,5,FALSE),"")</f>
        <v/>
      </c>
      <c r="L184" s="28">
        <f>IF(OR(J184="",K184=""),"",J184*K184)</f>
        <v/>
      </c>
      <c r="M184" s="28" t="n"/>
      <c r="N184" s="28" t="n"/>
      <c r="O184" s="28">
        <f>IF(L184="","",L184+M184-N184)</f>
        <v/>
      </c>
      <c r="Q184" s="29" t="n"/>
      <c r="R184" s="29" t="n"/>
    </row>
    <row r="185">
      <c r="C185">
        <f>IFERROR(VLOOKUP(B185,Workers!$A:$H,2,FALSE),"")</f>
        <v/>
      </c>
      <c r="E185">
        <f>IFERROR(VLOOKUP(D185,Jobs!$A:$G,2,FALSE),"")</f>
        <v/>
      </c>
      <c r="F185" s="25" t="n"/>
      <c r="G185" s="26" t="n"/>
      <c r="H185" s="26" t="n"/>
      <c r="J185" s="27">
        <f>IF(OR(G185="",H185=""),"",MAX(0,(H185-G185)*24-(I185/60)))</f>
        <v/>
      </c>
      <c r="K185" s="28">
        <f>IFERROR(VLOOKUP(D185,Jobs!$A:$G,5,FALSE),"")</f>
        <v/>
      </c>
      <c r="L185" s="28">
        <f>IF(OR(J185="",K185=""),"",J185*K185)</f>
        <v/>
      </c>
      <c r="M185" s="28" t="n"/>
      <c r="N185" s="28" t="n"/>
      <c r="O185" s="28">
        <f>IF(L185="","",L185+M185-N185)</f>
        <v/>
      </c>
      <c r="Q185" s="29" t="n"/>
      <c r="R185" s="29" t="n"/>
    </row>
    <row r="186">
      <c r="C186">
        <f>IFERROR(VLOOKUP(B186,Workers!$A:$H,2,FALSE),"")</f>
        <v/>
      </c>
      <c r="E186">
        <f>IFERROR(VLOOKUP(D186,Jobs!$A:$G,2,FALSE),"")</f>
        <v/>
      </c>
      <c r="F186" s="25" t="n"/>
      <c r="G186" s="26" t="n"/>
      <c r="H186" s="26" t="n"/>
      <c r="J186" s="27">
        <f>IF(OR(G186="",H186=""),"",MAX(0,(H186-G186)*24-(I186/60)))</f>
        <v/>
      </c>
      <c r="K186" s="28">
        <f>IFERROR(VLOOKUP(D186,Jobs!$A:$G,5,FALSE),"")</f>
        <v/>
      </c>
      <c r="L186" s="28">
        <f>IF(OR(J186="",K186=""),"",J186*K186)</f>
        <v/>
      </c>
      <c r="M186" s="28" t="n"/>
      <c r="N186" s="28" t="n"/>
      <c r="O186" s="28">
        <f>IF(L186="","",L186+M186-N186)</f>
        <v/>
      </c>
      <c r="Q186" s="29" t="n"/>
      <c r="R186" s="29" t="n"/>
    </row>
    <row r="187">
      <c r="C187">
        <f>IFERROR(VLOOKUP(B187,Workers!$A:$H,2,FALSE),"")</f>
        <v/>
      </c>
      <c r="E187">
        <f>IFERROR(VLOOKUP(D187,Jobs!$A:$G,2,FALSE),"")</f>
        <v/>
      </c>
      <c r="F187" s="25" t="n"/>
      <c r="G187" s="26" t="n"/>
      <c r="H187" s="26" t="n"/>
      <c r="J187" s="27">
        <f>IF(OR(G187="",H187=""),"",MAX(0,(H187-G187)*24-(I187/60)))</f>
        <v/>
      </c>
      <c r="K187" s="28">
        <f>IFERROR(VLOOKUP(D187,Jobs!$A:$G,5,FALSE),"")</f>
        <v/>
      </c>
      <c r="L187" s="28">
        <f>IF(OR(J187="",K187=""),"",J187*K187)</f>
        <v/>
      </c>
      <c r="M187" s="28" t="n"/>
      <c r="N187" s="28" t="n"/>
      <c r="O187" s="28">
        <f>IF(L187="","",L187+M187-N187)</f>
        <v/>
      </c>
      <c r="Q187" s="29" t="n"/>
      <c r="R187" s="29" t="n"/>
    </row>
    <row r="188">
      <c r="C188">
        <f>IFERROR(VLOOKUP(B188,Workers!$A:$H,2,FALSE),"")</f>
        <v/>
      </c>
      <c r="E188">
        <f>IFERROR(VLOOKUP(D188,Jobs!$A:$G,2,FALSE),"")</f>
        <v/>
      </c>
      <c r="F188" s="25" t="n"/>
      <c r="G188" s="26" t="n"/>
      <c r="H188" s="26" t="n"/>
      <c r="J188" s="27">
        <f>IF(OR(G188="",H188=""),"",MAX(0,(H188-G188)*24-(I188/60)))</f>
        <v/>
      </c>
      <c r="K188" s="28">
        <f>IFERROR(VLOOKUP(D188,Jobs!$A:$G,5,FALSE),"")</f>
        <v/>
      </c>
      <c r="L188" s="28">
        <f>IF(OR(J188="",K188=""),"",J188*K188)</f>
        <v/>
      </c>
      <c r="M188" s="28" t="n"/>
      <c r="N188" s="28" t="n"/>
      <c r="O188" s="28">
        <f>IF(L188="","",L188+M188-N188)</f>
        <v/>
      </c>
      <c r="Q188" s="29" t="n"/>
      <c r="R188" s="29" t="n"/>
    </row>
    <row r="189">
      <c r="C189">
        <f>IFERROR(VLOOKUP(B189,Workers!$A:$H,2,FALSE),"")</f>
        <v/>
      </c>
      <c r="E189">
        <f>IFERROR(VLOOKUP(D189,Jobs!$A:$G,2,FALSE),"")</f>
        <v/>
      </c>
      <c r="F189" s="25" t="n"/>
      <c r="G189" s="26" t="n"/>
      <c r="H189" s="26" t="n"/>
      <c r="J189" s="27">
        <f>IF(OR(G189="",H189=""),"",MAX(0,(H189-G189)*24-(I189/60)))</f>
        <v/>
      </c>
      <c r="K189" s="28">
        <f>IFERROR(VLOOKUP(D189,Jobs!$A:$G,5,FALSE),"")</f>
        <v/>
      </c>
      <c r="L189" s="28">
        <f>IF(OR(J189="",K189=""),"",J189*K189)</f>
        <v/>
      </c>
      <c r="M189" s="28" t="n"/>
      <c r="N189" s="28" t="n"/>
      <c r="O189" s="28">
        <f>IF(L189="","",L189+M189-N189)</f>
        <v/>
      </c>
      <c r="Q189" s="29" t="n"/>
      <c r="R189" s="29" t="n"/>
    </row>
    <row r="190">
      <c r="C190">
        <f>IFERROR(VLOOKUP(B190,Workers!$A:$H,2,FALSE),"")</f>
        <v/>
      </c>
      <c r="E190">
        <f>IFERROR(VLOOKUP(D190,Jobs!$A:$G,2,FALSE),"")</f>
        <v/>
      </c>
      <c r="F190" s="25" t="n"/>
      <c r="G190" s="26" t="n"/>
      <c r="H190" s="26" t="n"/>
      <c r="J190" s="27">
        <f>IF(OR(G190="",H190=""),"",MAX(0,(H190-G190)*24-(I190/60)))</f>
        <v/>
      </c>
      <c r="K190" s="28">
        <f>IFERROR(VLOOKUP(D190,Jobs!$A:$G,5,FALSE),"")</f>
        <v/>
      </c>
      <c r="L190" s="28">
        <f>IF(OR(J190="",K190=""),"",J190*K190)</f>
        <v/>
      </c>
      <c r="M190" s="28" t="n"/>
      <c r="N190" s="28" t="n"/>
      <c r="O190" s="28">
        <f>IF(L190="","",L190+M190-N190)</f>
        <v/>
      </c>
      <c r="Q190" s="29" t="n"/>
      <c r="R190" s="29" t="n"/>
    </row>
    <row r="191">
      <c r="C191">
        <f>IFERROR(VLOOKUP(B191,Workers!$A:$H,2,FALSE),"")</f>
        <v/>
      </c>
      <c r="E191">
        <f>IFERROR(VLOOKUP(D191,Jobs!$A:$G,2,FALSE),"")</f>
        <v/>
      </c>
      <c r="F191" s="25" t="n"/>
      <c r="G191" s="26" t="n"/>
      <c r="H191" s="26" t="n"/>
      <c r="J191" s="27">
        <f>IF(OR(G191="",H191=""),"",MAX(0,(H191-G191)*24-(I191/60)))</f>
        <v/>
      </c>
      <c r="K191" s="28">
        <f>IFERROR(VLOOKUP(D191,Jobs!$A:$G,5,FALSE),"")</f>
        <v/>
      </c>
      <c r="L191" s="28">
        <f>IF(OR(J191="",K191=""),"",J191*K191)</f>
        <v/>
      </c>
      <c r="M191" s="28" t="n"/>
      <c r="N191" s="28" t="n"/>
      <c r="O191" s="28">
        <f>IF(L191="","",L191+M191-N191)</f>
        <v/>
      </c>
      <c r="Q191" s="29" t="n"/>
      <c r="R191" s="29" t="n"/>
    </row>
    <row r="192">
      <c r="C192">
        <f>IFERROR(VLOOKUP(B192,Workers!$A:$H,2,FALSE),"")</f>
        <v/>
      </c>
      <c r="E192">
        <f>IFERROR(VLOOKUP(D192,Jobs!$A:$G,2,FALSE),"")</f>
        <v/>
      </c>
      <c r="F192" s="25" t="n"/>
      <c r="G192" s="26" t="n"/>
      <c r="H192" s="26" t="n"/>
      <c r="J192" s="27">
        <f>IF(OR(G192="",H192=""),"",MAX(0,(H192-G192)*24-(I192/60)))</f>
        <v/>
      </c>
      <c r="K192" s="28">
        <f>IFERROR(VLOOKUP(D192,Jobs!$A:$G,5,FALSE),"")</f>
        <v/>
      </c>
      <c r="L192" s="28">
        <f>IF(OR(J192="",K192=""),"",J192*K192)</f>
        <v/>
      </c>
      <c r="M192" s="28" t="n"/>
      <c r="N192" s="28" t="n"/>
      <c r="O192" s="28">
        <f>IF(L192="","",L192+M192-N192)</f>
        <v/>
      </c>
      <c r="Q192" s="29" t="n"/>
      <c r="R192" s="29" t="n"/>
    </row>
    <row r="193">
      <c r="C193">
        <f>IFERROR(VLOOKUP(B193,Workers!$A:$H,2,FALSE),"")</f>
        <v/>
      </c>
      <c r="E193">
        <f>IFERROR(VLOOKUP(D193,Jobs!$A:$G,2,FALSE),"")</f>
        <v/>
      </c>
      <c r="F193" s="25" t="n"/>
      <c r="G193" s="26" t="n"/>
      <c r="H193" s="26" t="n"/>
      <c r="J193" s="27">
        <f>IF(OR(G193="",H193=""),"",MAX(0,(H193-G193)*24-(I193/60)))</f>
        <v/>
      </c>
      <c r="K193" s="28">
        <f>IFERROR(VLOOKUP(D193,Jobs!$A:$G,5,FALSE),"")</f>
        <v/>
      </c>
      <c r="L193" s="28">
        <f>IF(OR(J193="",K193=""),"",J193*K193)</f>
        <v/>
      </c>
      <c r="M193" s="28" t="n"/>
      <c r="N193" s="28" t="n"/>
      <c r="O193" s="28">
        <f>IF(L193="","",L193+M193-N193)</f>
        <v/>
      </c>
      <c r="Q193" s="29" t="n"/>
      <c r="R193" s="29" t="n"/>
    </row>
    <row r="194">
      <c r="C194">
        <f>IFERROR(VLOOKUP(B194,Workers!$A:$H,2,FALSE),"")</f>
        <v/>
      </c>
      <c r="E194">
        <f>IFERROR(VLOOKUP(D194,Jobs!$A:$G,2,FALSE),"")</f>
        <v/>
      </c>
      <c r="F194" s="25" t="n"/>
      <c r="G194" s="26" t="n"/>
      <c r="H194" s="26" t="n"/>
      <c r="J194" s="27">
        <f>IF(OR(G194="",H194=""),"",MAX(0,(H194-G194)*24-(I194/60)))</f>
        <v/>
      </c>
      <c r="K194" s="28">
        <f>IFERROR(VLOOKUP(D194,Jobs!$A:$G,5,FALSE),"")</f>
        <v/>
      </c>
      <c r="L194" s="28">
        <f>IF(OR(J194="",K194=""),"",J194*K194)</f>
        <v/>
      </c>
      <c r="M194" s="28" t="n"/>
      <c r="N194" s="28" t="n"/>
      <c r="O194" s="28">
        <f>IF(L194="","",L194+M194-N194)</f>
        <v/>
      </c>
      <c r="Q194" s="29" t="n"/>
      <c r="R194" s="29" t="n"/>
    </row>
    <row r="195">
      <c r="C195">
        <f>IFERROR(VLOOKUP(B195,Workers!$A:$H,2,FALSE),"")</f>
        <v/>
      </c>
      <c r="E195">
        <f>IFERROR(VLOOKUP(D195,Jobs!$A:$G,2,FALSE),"")</f>
        <v/>
      </c>
      <c r="F195" s="25" t="n"/>
      <c r="G195" s="26" t="n"/>
      <c r="H195" s="26" t="n"/>
      <c r="J195" s="27">
        <f>IF(OR(G195="",H195=""),"",MAX(0,(H195-G195)*24-(I195/60)))</f>
        <v/>
      </c>
      <c r="K195" s="28">
        <f>IFERROR(VLOOKUP(D195,Jobs!$A:$G,5,FALSE),"")</f>
        <v/>
      </c>
      <c r="L195" s="28">
        <f>IF(OR(J195="",K195=""),"",J195*K195)</f>
        <v/>
      </c>
      <c r="M195" s="28" t="n"/>
      <c r="N195" s="28" t="n"/>
      <c r="O195" s="28">
        <f>IF(L195="","",L195+M195-N195)</f>
        <v/>
      </c>
      <c r="Q195" s="29" t="n"/>
      <c r="R195" s="29" t="n"/>
    </row>
    <row r="196">
      <c r="C196">
        <f>IFERROR(VLOOKUP(B196,Workers!$A:$H,2,FALSE),"")</f>
        <v/>
      </c>
      <c r="E196">
        <f>IFERROR(VLOOKUP(D196,Jobs!$A:$G,2,FALSE),"")</f>
        <v/>
      </c>
      <c r="F196" s="25" t="n"/>
      <c r="G196" s="26" t="n"/>
      <c r="H196" s="26" t="n"/>
      <c r="J196" s="27">
        <f>IF(OR(G196="",H196=""),"",MAX(0,(H196-G196)*24-(I196/60)))</f>
        <v/>
      </c>
      <c r="K196" s="28">
        <f>IFERROR(VLOOKUP(D196,Jobs!$A:$G,5,FALSE),"")</f>
        <v/>
      </c>
      <c r="L196" s="28">
        <f>IF(OR(J196="",K196=""),"",J196*K196)</f>
        <v/>
      </c>
      <c r="M196" s="28" t="n"/>
      <c r="N196" s="28" t="n"/>
      <c r="O196" s="28">
        <f>IF(L196="","",L196+M196-N196)</f>
        <v/>
      </c>
      <c r="Q196" s="29" t="n"/>
      <c r="R196" s="29" t="n"/>
    </row>
    <row r="197">
      <c r="C197">
        <f>IFERROR(VLOOKUP(B197,Workers!$A:$H,2,FALSE),"")</f>
        <v/>
      </c>
      <c r="E197">
        <f>IFERROR(VLOOKUP(D197,Jobs!$A:$G,2,FALSE),"")</f>
        <v/>
      </c>
      <c r="F197" s="25" t="n"/>
      <c r="G197" s="26" t="n"/>
      <c r="H197" s="26" t="n"/>
      <c r="J197" s="27">
        <f>IF(OR(G197="",H197=""),"",MAX(0,(H197-G197)*24-(I197/60)))</f>
        <v/>
      </c>
      <c r="K197" s="28">
        <f>IFERROR(VLOOKUP(D197,Jobs!$A:$G,5,FALSE),"")</f>
        <v/>
      </c>
      <c r="L197" s="28">
        <f>IF(OR(J197="",K197=""),"",J197*K197)</f>
        <v/>
      </c>
      <c r="M197" s="28" t="n"/>
      <c r="N197" s="28" t="n"/>
      <c r="O197" s="28">
        <f>IF(L197="","",L197+M197-N197)</f>
        <v/>
      </c>
      <c r="Q197" s="29" t="n"/>
      <c r="R197" s="29" t="n"/>
    </row>
    <row r="198">
      <c r="C198">
        <f>IFERROR(VLOOKUP(B198,Workers!$A:$H,2,FALSE),"")</f>
        <v/>
      </c>
      <c r="E198">
        <f>IFERROR(VLOOKUP(D198,Jobs!$A:$G,2,FALSE),"")</f>
        <v/>
      </c>
      <c r="F198" s="25" t="n"/>
      <c r="G198" s="26" t="n"/>
      <c r="H198" s="26" t="n"/>
      <c r="J198" s="27">
        <f>IF(OR(G198="",H198=""),"",MAX(0,(H198-G198)*24-(I198/60)))</f>
        <v/>
      </c>
      <c r="K198" s="28">
        <f>IFERROR(VLOOKUP(D198,Jobs!$A:$G,5,FALSE),"")</f>
        <v/>
      </c>
      <c r="L198" s="28">
        <f>IF(OR(J198="",K198=""),"",J198*K198)</f>
        <v/>
      </c>
      <c r="M198" s="28" t="n"/>
      <c r="N198" s="28" t="n"/>
      <c r="O198" s="28">
        <f>IF(L198="","",L198+M198-N198)</f>
        <v/>
      </c>
      <c r="Q198" s="29" t="n"/>
      <c r="R198" s="29" t="n"/>
    </row>
    <row r="199">
      <c r="C199">
        <f>IFERROR(VLOOKUP(B199,Workers!$A:$H,2,FALSE),"")</f>
        <v/>
      </c>
      <c r="E199">
        <f>IFERROR(VLOOKUP(D199,Jobs!$A:$G,2,FALSE),"")</f>
        <v/>
      </c>
      <c r="F199" s="25" t="n"/>
      <c r="G199" s="26" t="n"/>
      <c r="H199" s="26" t="n"/>
      <c r="J199" s="27">
        <f>IF(OR(G199="",H199=""),"",MAX(0,(H199-G199)*24-(I199/60)))</f>
        <v/>
      </c>
      <c r="K199" s="28">
        <f>IFERROR(VLOOKUP(D199,Jobs!$A:$G,5,FALSE),"")</f>
        <v/>
      </c>
      <c r="L199" s="28">
        <f>IF(OR(J199="",K199=""),"",J199*K199)</f>
        <v/>
      </c>
      <c r="M199" s="28" t="n"/>
      <c r="N199" s="28" t="n"/>
      <c r="O199" s="28">
        <f>IF(L199="","",L199+M199-N199)</f>
        <v/>
      </c>
      <c r="Q199" s="29" t="n"/>
      <c r="R199" s="29" t="n"/>
    </row>
    <row r="200">
      <c r="C200">
        <f>IFERROR(VLOOKUP(B200,Workers!$A:$H,2,FALSE),"")</f>
        <v/>
      </c>
      <c r="E200">
        <f>IFERROR(VLOOKUP(D200,Jobs!$A:$G,2,FALSE),"")</f>
        <v/>
      </c>
      <c r="F200" s="25" t="n"/>
      <c r="G200" s="26" t="n"/>
      <c r="H200" s="26" t="n"/>
      <c r="J200" s="27">
        <f>IF(OR(G200="",H200=""),"",MAX(0,(H200-G200)*24-(I200/60)))</f>
        <v/>
      </c>
      <c r="K200" s="28">
        <f>IFERROR(VLOOKUP(D200,Jobs!$A:$G,5,FALSE),"")</f>
        <v/>
      </c>
      <c r="L200" s="28">
        <f>IF(OR(J200="",K200=""),"",J200*K200)</f>
        <v/>
      </c>
      <c r="M200" s="28" t="n"/>
      <c r="N200" s="28" t="n"/>
      <c r="O200" s="28">
        <f>IF(L200="","",L200+M200-N200)</f>
        <v/>
      </c>
      <c r="Q200" s="29" t="n"/>
      <c r="R200" s="29" t="n"/>
    </row>
  </sheetData>
  <autoFilter ref="A1:T6"/>
  <mergeCells count="2">
    <mergeCell ref="V2:Y4"/>
    <mergeCell ref="V1:Y1"/>
  </mergeCells>
  <conditionalFormatting sqref="A2:T200">
    <cfRule type="expression" priority="1" dxfId="1">
      <formula>$P2="Submitted"</formula>
    </cfRule>
    <cfRule type="expression" priority="2" dxfId="0">
      <formula>$P2="Approved"</formula>
    </cfRule>
    <cfRule type="expression" priority="3" dxfId="0">
      <formula>$P2="Paid"</formula>
    </cfRule>
    <cfRule type="expression" priority="4" dxfId="3">
      <formula>$P2="Rejected"</formula>
    </cfRule>
    <cfRule type="expression" priority="5" dxfId="2">
      <formula>$P2="Draft"</formula>
    </cfRule>
    <cfRule type="expression" priority="6" dxfId="5">
      <formula>$S2&lt;&gt;""</formula>
    </cfRule>
    <cfRule type="expression" priority="7" dxfId="4">
      <formula>IFERROR(VLOOKUP($B2,Workers!$A:$E,5,FALSE)="Inactive",FALSE)</formula>
    </cfRule>
  </conditionalFormatting>
  <dataValidations count="3">
    <dataValidation sqref="P2:P200" showDropDown="0" showInputMessage="0" showErrorMessage="0" allowBlank="1" errorTitle="Invalid value" error="Choose a value from Dropdown Lists." type="list">
      <formula1>'Dropdown Lists'!$C$2:$C$7</formula1>
    </dataValidation>
    <dataValidation sqref="B2:B200" showDropDown="0" showInputMessage="0" showErrorMessage="0" allowBlank="1" errorTitle="Invalid value" error="Choose a value from the approved workbook range." type="list">
      <formula1>Workers!$A$2:$A$200</formula1>
    </dataValidation>
    <dataValidation sqref="D2:D200" showDropDown="0" showInputMessage="0" showErrorMessage="0" allowBlank="1" errorTitle="Invalid value" error="Choose a value from the approved workbook range." type="list">
      <formula1>Jobs!$A$2:$A$200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20" customWidth="1" min="10" max="10"/>
    <col width="18" customWidth="1" min="11" max="11"/>
    <col width="14" customWidth="1" min="12" max="12"/>
    <col width="18" customWidth="1" min="13" max="13"/>
    <col width="18" customWidth="1" min="14" max="14"/>
    <col width="42" customWidth="1" min="15" max="15"/>
  </cols>
  <sheetData>
    <row r="1">
      <c r="A1" s="12" t="inlineStr">
        <is>
          <t>Pay Period ID</t>
        </is>
      </c>
      <c r="B1" s="12" t="inlineStr">
        <is>
          <t>Worker ID</t>
        </is>
      </c>
      <c r="C1" s="12" t="inlineStr">
        <is>
          <t>Worker Name</t>
        </is>
      </c>
      <c r="D1" s="12" t="inlineStr">
        <is>
          <t>Period Start</t>
        </is>
      </c>
      <c r="E1" s="12" t="inlineStr">
        <is>
          <t>Period End</t>
        </is>
      </c>
      <c r="F1" s="12" t="inlineStr">
        <is>
          <t>Status</t>
        </is>
      </c>
      <c r="G1" s="12" t="inlineStr">
        <is>
          <t>Payment Status</t>
        </is>
      </c>
      <c r="H1" s="12" t="inlineStr">
        <is>
          <t>Total Hours</t>
        </is>
      </c>
      <c r="I1" s="12" t="inlineStr">
        <is>
          <t>Gross Pay</t>
        </is>
      </c>
      <c r="J1" s="12" t="inlineStr">
        <is>
          <t>Reimbursement Total</t>
        </is>
      </c>
      <c r="K1" s="12" t="inlineStr">
        <is>
          <t>Deduction Total</t>
        </is>
      </c>
      <c r="L1" s="12" t="inlineStr">
        <is>
          <t>Net Pay</t>
        </is>
      </c>
      <c r="M1" s="12" t="inlineStr">
        <is>
          <t>Finalized At</t>
        </is>
      </c>
      <c r="N1" s="12" t="inlineStr">
        <is>
          <t>Paid At</t>
        </is>
      </c>
      <c r="O1" s="12" t="inlineStr">
        <is>
          <t>Notes</t>
        </is>
      </c>
      <c r="Q1" s="4" t="inlineStr">
        <is>
          <t>Pay Period</t>
        </is>
      </c>
      <c r="R1" s="5" t="n"/>
      <c r="S1" s="4" t="inlineStr">
        <is>
          <t>Approved Hours</t>
        </is>
      </c>
      <c r="T1" s="5" t="n"/>
    </row>
    <row r="2">
      <c r="A2" s="14" t="inlineStr">
        <is>
          <t>P-4001</t>
        </is>
      </c>
      <c r="B2" s="14" t="inlineStr">
        <is>
          <t>W-1001</t>
        </is>
      </c>
      <c r="C2" s="14">
        <f>IFERROR(VLOOKUP(B2,Workers!$A:$H,2,FALSE),"")</f>
        <v/>
      </c>
      <c r="D2" s="15" t="n">
        <v>46174</v>
      </c>
      <c r="E2" s="15" t="n">
        <v>46180</v>
      </c>
      <c r="F2" s="14" t="inlineStr">
        <is>
          <t>Paid</t>
        </is>
      </c>
      <c r="G2" s="14" t="inlineStr">
        <is>
          <t>Paid</t>
        </is>
      </c>
      <c r="H2" s="20">
        <f>SUMIFS('Time Entries'!$J:$J,'Time Entries'!$B:$B,$B2,'Time Entries'!$F:$F,"&gt;="&amp;$D2,'Time Entries'!$F:$F,"&lt;="&amp;$E2,'Time Entries'!$P:$P,"&lt;&gt;Draft",'Time Entries'!$P:$P,"&lt;&gt;Rejected")</f>
        <v/>
      </c>
      <c r="I2" s="17">
        <f>SUMIFS('Time Entries'!$L:$L,'Time Entries'!$B:$B,$B2,'Time Entries'!$F:$F,"&gt;="&amp;$D2,'Time Entries'!$F:$F,"&lt;="&amp;$E2,'Time Entries'!$P:$P,"&lt;&gt;Draft",'Time Entries'!$P:$P,"&lt;&gt;Rejected")</f>
        <v/>
      </c>
      <c r="J2" s="17">
        <f>SUMIFS('Time Entries'!$M:$M,'Time Entries'!$B:$B,$B2,'Time Entries'!$F:$F,"&gt;="&amp;$D2,'Time Entries'!$F:$F,"&lt;="&amp;$E2,'Time Entries'!$P:$P,"&lt;&gt;Draft",'Time Entries'!$P:$P,"&lt;&gt;Rejected")</f>
        <v/>
      </c>
      <c r="K2" s="17">
        <f>SUMIFS('Time Entries'!$N:$N,'Time Entries'!$B:$B,$B2,'Time Entries'!$F:$F,"&gt;="&amp;$D2,'Time Entries'!$F:$F,"&lt;="&amp;$E2,'Time Entries'!$P:$P,"&lt;&gt;Draft",'Time Entries'!$P:$P,"&lt;&gt;Rejected")</f>
        <v/>
      </c>
      <c r="L2" s="17">
        <f>I2+J2-K2</f>
        <v/>
      </c>
      <c r="M2" s="21" t="n">
        <v>46180.41666666666</v>
      </c>
      <c r="N2" s="21" t="n">
        <v>46181.5</v>
      </c>
      <c r="O2" s="14" t="inlineStr">
        <is>
          <t>Paid worker proof can be regenerated.</t>
        </is>
      </c>
      <c r="Q2" s="7">
        <f>IFERROR(INDEX($A$2:$A$100,MATCH("Open",$F$2:$F$100,0)),"Demo")</f>
        <v/>
      </c>
      <c r="R2" s="5" t="n"/>
      <c r="S2" s="8">
        <f>SUM($H$2:$H$100)</f>
        <v/>
      </c>
      <c r="T2" s="5" t="n"/>
    </row>
    <row r="3">
      <c r="A3" s="13" t="inlineStr">
        <is>
          <t>P-4002</t>
        </is>
      </c>
      <c r="B3" s="13" t="inlineStr">
        <is>
          <t>W-1002</t>
        </is>
      </c>
      <c r="C3" s="13">
        <f>IFERROR(VLOOKUP(B3,Workers!$A:$H,2,FALSE),"")</f>
        <v/>
      </c>
      <c r="D3" s="16" t="n">
        <v>46174</v>
      </c>
      <c r="E3" s="16" t="n">
        <v>46180</v>
      </c>
      <c r="F3" s="13" t="inlineStr">
        <is>
          <t>Open</t>
        </is>
      </c>
      <c r="G3" s="13" t="inlineStr">
        <is>
          <t>Unpaid</t>
        </is>
      </c>
      <c r="H3" s="23">
        <f>SUMIFS('Time Entries'!$J:$J,'Time Entries'!$B:$B,$B3,'Time Entries'!$F:$F,"&gt;="&amp;$D3,'Time Entries'!$F:$F,"&lt;="&amp;$E3,'Time Entries'!$P:$P,"&lt;&gt;Draft",'Time Entries'!$P:$P,"&lt;&gt;Rejected")</f>
        <v/>
      </c>
      <c r="I3" s="18">
        <f>SUMIFS('Time Entries'!$L:$L,'Time Entries'!$B:$B,$B3,'Time Entries'!$F:$F,"&gt;="&amp;$D3,'Time Entries'!$F:$F,"&lt;="&amp;$E3,'Time Entries'!$P:$P,"&lt;&gt;Draft",'Time Entries'!$P:$P,"&lt;&gt;Rejected")</f>
        <v/>
      </c>
      <c r="J3" s="18">
        <f>SUMIFS('Time Entries'!$M:$M,'Time Entries'!$B:$B,$B3,'Time Entries'!$F:$F,"&gt;="&amp;$D3,'Time Entries'!$F:$F,"&lt;="&amp;$E3,'Time Entries'!$P:$P,"&lt;&gt;Draft",'Time Entries'!$P:$P,"&lt;&gt;Rejected")</f>
        <v/>
      </c>
      <c r="K3" s="18">
        <f>SUMIFS('Time Entries'!$N:$N,'Time Entries'!$B:$B,$B3,'Time Entries'!$F:$F,"&gt;="&amp;$D3,'Time Entries'!$F:$F,"&lt;="&amp;$E3,'Time Entries'!$P:$P,"&lt;&gt;Draft",'Time Entries'!$P:$P,"&lt;&gt;Rejected")</f>
        <v/>
      </c>
      <c r="L3" s="18">
        <f>I3+J3-K3</f>
        <v/>
      </c>
      <c r="M3" s="24" t="n"/>
      <c r="N3" s="24" t="n"/>
      <c r="O3" s="13" t="inlineStr">
        <is>
          <t>Open period with submitted entry.</t>
        </is>
      </c>
    </row>
    <row r="4">
      <c r="A4" s="14" t="inlineStr">
        <is>
          <t>P-4003</t>
        </is>
      </c>
      <c r="B4" s="14" t="inlineStr">
        <is>
          <t>W-1003</t>
        </is>
      </c>
      <c r="C4" s="14">
        <f>IFERROR(VLOOKUP(B4,Workers!$A:$H,2,FALSE),"")</f>
        <v/>
      </c>
      <c r="D4" s="15" t="n">
        <v>46174</v>
      </c>
      <c r="E4" s="15" t="n">
        <v>46180</v>
      </c>
      <c r="F4" s="14" t="inlineStr">
        <is>
          <t>Finalized</t>
        </is>
      </c>
      <c r="G4" s="14" t="inlineStr">
        <is>
          <t>Unpaid</t>
        </is>
      </c>
      <c r="H4" s="20">
        <f>SUMIFS('Time Entries'!$J:$J,'Time Entries'!$B:$B,$B4,'Time Entries'!$F:$F,"&gt;="&amp;$D4,'Time Entries'!$F:$F,"&lt;="&amp;$E4,'Time Entries'!$P:$P,"&lt;&gt;Draft",'Time Entries'!$P:$P,"&lt;&gt;Rejected")</f>
        <v/>
      </c>
      <c r="I4" s="17">
        <f>SUMIFS('Time Entries'!$L:$L,'Time Entries'!$B:$B,$B4,'Time Entries'!$F:$F,"&gt;="&amp;$D4,'Time Entries'!$F:$F,"&lt;="&amp;$E4,'Time Entries'!$P:$P,"&lt;&gt;Draft",'Time Entries'!$P:$P,"&lt;&gt;Rejected")</f>
        <v/>
      </c>
      <c r="J4" s="17">
        <f>SUMIFS('Time Entries'!$M:$M,'Time Entries'!$B:$B,$B4,'Time Entries'!$F:$F,"&gt;="&amp;$D4,'Time Entries'!$F:$F,"&lt;="&amp;$E4,'Time Entries'!$P:$P,"&lt;&gt;Draft",'Time Entries'!$P:$P,"&lt;&gt;Rejected")</f>
        <v/>
      </c>
      <c r="K4" s="17">
        <f>SUMIFS('Time Entries'!$N:$N,'Time Entries'!$B:$B,$B4,'Time Entries'!$F:$F,"&gt;="&amp;$D4,'Time Entries'!$F:$F,"&lt;="&amp;$E4,'Time Entries'!$P:$P,"&lt;&gt;Draft",'Time Entries'!$P:$P,"&lt;&gt;Rejected")</f>
        <v/>
      </c>
      <c r="L4" s="17">
        <f>I4+J4-K4</f>
        <v/>
      </c>
      <c r="M4" s="21" t="n">
        <v>46181.375</v>
      </c>
      <c r="N4" s="21" t="n"/>
      <c r="O4" s="14" t="inlineStr">
        <is>
          <t>Inactive worker history remains visible and provable.</t>
        </is>
      </c>
      <c r="Q4" s="4" t="inlineStr">
        <is>
          <t>Worker Count</t>
        </is>
      </c>
      <c r="R4" s="5" t="n"/>
      <c r="S4" s="4" t="inlineStr">
        <is>
          <t>Paid Status</t>
        </is>
      </c>
      <c r="T4" s="5" t="n"/>
    </row>
    <row r="5">
      <c r="C5">
        <f>IFERROR(VLOOKUP(B5,Workers!$A:$H,2,FALSE),"")</f>
        <v/>
      </c>
      <c r="D5" s="25" t="n"/>
      <c r="E5" s="25" t="n"/>
      <c r="H5" s="27">
        <f>SUMIFS('Time Entries'!$J:$J,'Time Entries'!$B:$B,$B5,'Time Entries'!$F:$F,"&gt;="&amp;$D5,'Time Entries'!$F:$F,"&lt;="&amp;$E5,'Time Entries'!$P:$P,"&lt;&gt;Draft",'Time Entries'!$P:$P,"&lt;&gt;Rejected")</f>
        <v/>
      </c>
      <c r="I5" s="28">
        <f>SUMIFS('Time Entries'!$L:$L,'Time Entries'!$B:$B,$B5,'Time Entries'!$F:$F,"&gt;="&amp;$D5,'Time Entries'!$F:$F,"&lt;="&amp;$E5,'Time Entries'!$P:$P,"&lt;&gt;Draft",'Time Entries'!$P:$P,"&lt;&gt;Rejected")</f>
        <v/>
      </c>
      <c r="J5" s="28">
        <f>SUMIFS('Time Entries'!$M:$M,'Time Entries'!$B:$B,$B5,'Time Entries'!$F:$F,"&gt;="&amp;$D5,'Time Entries'!$F:$F,"&lt;="&amp;$E5,'Time Entries'!$P:$P,"&lt;&gt;Draft",'Time Entries'!$P:$P,"&lt;&gt;Rejected")</f>
        <v/>
      </c>
      <c r="K5" s="28">
        <f>SUMIFS('Time Entries'!$N:$N,'Time Entries'!$B:$B,$B5,'Time Entries'!$F:$F,"&gt;="&amp;$D5,'Time Entries'!$F:$F,"&lt;="&amp;$E5,'Time Entries'!$P:$P,"&lt;&gt;Draft",'Time Entries'!$P:$P,"&lt;&gt;Rejected")</f>
        <v/>
      </c>
      <c r="L5" s="28">
        <f>I5+J5-K5</f>
        <v/>
      </c>
      <c r="M5" s="29" t="n"/>
      <c r="N5" s="29" t="n"/>
      <c r="Q5" s="7">
        <f>COUNTA(UNIQUE($B$2:$B$100))</f>
        <v/>
      </c>
      <c r="R5" s="5" t="n"/>
      <c r="S5" s="7">
        <f>COUNTIF($G$2:$G$100,"Paid")&amp;" paid"</f>
        <v/>
      </c>
      <c r="T5" s="5" t="n"/>
    </row>
    <row r="6">
      <c r="C6">
        <f>IFERROR(VLOOKUP(B6,Workers!$A:$H,2,FALSE),"")</f>
        <v/>
      </c>
      <c r="D6" s="25" t="n"/>
      <c r="E6" s="25" t="n"/>
      <c r="H6" s="27">
        <f>SUMIFS('Time Entries'!$J:$J,'Time Entries'!$B:$B,$B6,'Time Entries'!$F:$F,"&gt;="&amp;$D6,'Time Entries'!$F:$F,"&lt;="&amp;$E6,'Time Entries'!$P:$P,"&lt;&gt;Draft",'Time Entries'!$P:$P,"&lt;&gt;Rejected")</f>
        <v/>
      </c>
      <c r="I6" s="28">
        <f>SUMIFS('Time Entries'!$L:$L,'Time Entries'!$B:$B,$B6,'Time Entries'!$F:$F,"&gt;="&amp;$D6,'Time Entries'!$F:$F,"&lt;="&amp;$E6,'Time Entries'!$P:$P,"&lt;&gt;Draft",'Time Entries'!$P:$P,"&lt;&gt;Rejected")</f>
        <v/>
      </c>
      <c r="J6" s="28">
        <f>SUMIFS('Time Entries'!$M:$M,'Time Entries'!$B:$B,$B6,'Time Entries'!$F:$F,"&gt;="&amp;$D6,'Time Entries'!$F:$F,"&lt;="&amp;$E6,'Time Entries'!$P:$P,"&lt;&gt;Draft",'Time Entries'!$P:$P,"&lt;&gt;Rejected")</f>
        <v/>
      </c>
      <c r="K6" s="28">
        <f>SUMIFS('Time Entries'!$N:$N,'Time Entries'!$B:$B,$B6,'Time Entries'!$F:$F,"&gt;="&amp;$D6,'Time Entries'!$F:$F,"&lt;="&amp;$E6,'Time Entries'!$P:$P,"&lt;&gt;Draft",'Time Entries'!$P:$P,"&lt;&gt;Rejected")</f>
        <v/>
      </c>
      <c r="L6" s="28">
        <f>I6+J6-K6</f>
        <v/>
      </c>
      <c r="M6" s="29" t="n"/>
      <c r="N6" s="29" t="n"/>
    </row>
    <row r="7">
      <c r="C7">
        <f>IFERROR(VLOOKUP(B7,Workers!$A:$H,2,FALSE),"")</f>
        <v/>
      </c>
      <c r="D7" s="25" t="n"/>
      <c r="E7" s="25" t="n"/>
      <c r="H7" s="27">
        <f>SUMIFS('Time Entries'!$J:$J,'Time Entries'!$B:$B,$B7,'Time Entries'!$F:$F,"&gt;="&amp;$D7,'Time Entries'!$F:$F,"&lt;="&amp;$E7,'Time Entries'!$P:$P,"&lt;&gt;Draft",'Time Entries'!$P:$P,"&lt;&gt;Rejected")</f>
        <v/>
      </c>
      <c r="I7" s="28">
        <f>SUMIFS('Time Entries'!$L:$L,'Time Entries'!$B:$B,$B7,'Time Entries'!$F:$F,"&gt;="&amp;$D7,'Time Entries'!$F:$F,"&lt;="&amp;$E7,'Time Entries'!$P:$P,"&lt;&gt;Draft",'Time Entries'!$P:$P,"&lt;&gt;Rejected")</f>
        <v/>
      </c>
      <c r="J7" s="28">
        <f>SUMIFS('Time Entries'!$M:$M,'Time Entries'!$B:$B,$B7,'Time Entries'!$F:$F,"&gt;="&amp;$D7,'Time Entries'!$F:$F,"&lt;="&amp;$E7,'Time Entries'!$P:$P,"&lt;&gt;Draft",'Time Entries'!$P:$P,"&lt;&gt;Rejected")</f>
        <v/>
      </c>
      <c r="K7" s="28">
        <f>SUMIFS('Time Entries'!$N:$N,'Time Entries'!$B:$B,$B7,'Time Entries'!$F:$F,"&gt;="&amp;$D7,'Time Entries'!$F:$F,"&lt;="&amp;$E7,'Time Entries'!$P:$P,"&lt;&gt;Draft",'Time Entries'!$P:$P,"&lt;&gt;Rejected")</f>
        <v/>
      </c>
      <c r="L7" s="28">
        <f>I7+J7-K7</f>
        <v/>
      </c>
      <c r="M7" s="29" t="n"/>
      <c r="N7" s="29" t="n"/>
      <c r="Q7" s="4" t="inlineStr">
        <is>
          <t>Export Batch ID</t>
        </is>
      </c>
      <c r="R7" s="5" t="n"/>
      <c r="S7" s="5" t="n"/>
      <c r="T7" s="5" t="n"/>
    </row>
    <row r="8">
      <c r="C8">
        <f>IFERROR(VLOOKUP(B8,Workers!$A:$H,2,FALSE),"")</f>
        <v/>
      </c>
      <c r="D8" s="25" t="n"/>
      <c r="E8" s="25" t="n"/>
      <c r="H8" s="27">
        <f>SUMIFS('Time Entries'!$J:$J,'Time Entries'!$B:$B,$B8,'Time Entries'!$F:$F,"&gt;="&amp;$D8,'Time Entries'!$F:$F,"&lt;="&amp;$E8,'Time Entries'!$P:$P,"&lt;&gt;Draft",'Time Entries'!$P:$P,"&lt;&gt;Rejected")</f>
        <v/>
      </c>
      <c r="I8" s="28">
        <f>SUMIFS('Time Entries'!$L:$L,'Time Entries'!$B:$B,$B8,'Time Entries'!$F:$F,"&gt;="&amp;$D8,'Time Entries'!$F:$F,"&lt;="&amp;$E8,'Time Entries'!$P:$P,"&lt;&gt;Draft",'Time Entries'!$P:$P,"&lt;&gt;Rejected")</f>
        <v/>
      </c>
      <c r="J8" s="28">
        <f>SUMIFS('Time Entries'!$M:$M,'Time Entries'!$B:$B,$B8,'Time Entries'!$F:$F,"&gt;="&amp;$D8,'Time Entries'!$F:$F,"&lt;="&amp;$E8,'Time Entries'!$P:$P,"&lt;&gt;Draft",'Time Entries'!$P:$P,"&lt;&gt;Rejected")</f>
        <v/>
      </c>
      <c r="K8" s="28">
        <f>SUMIFS('Time Entries'!$N:$N,'Time Entries'!$B:$B,$B8,'Time Entries'!$F:$F,"&gt;="&amp;$D8,'Time Entries'!$F:$F,"&lt;="&amp;$E8,'Time Entries'!$P:$P,"&lt;&gt;Draft",'Time Entries'!$P:$P,"&lt;&gt;Rejected")</f>
        <v/>
      </c>
      <c r="L8" s="28">
        <f>I8+J8-K8</f>
        <v/>
      </c>
      <c r="M8" s="29" t="n"/>
      <c r="N8" s="29" t="n"/>
      <c r="Q8" s="7">
        <f>IFERROR(INDEX('Proof Exports'!$A$2:$A$100,1),"No export")</f>
        <v/>
      </c>
      <c r="R8" s="5" t="n"/>
      <c r="S8" s="5" t="n"/>
      <c r="T8" s="5" t="n"/>
    </row>
    <row r="9">
      <c r="C9">
        <f>IFERROR(VLOOKUP(B9,Workers!$A:$H,2,FALSE),"")</f>
        <v/>
      </c>
      <c r="D9" s="25" t="n"/>
      <c r="E9" s="25" t="n"/>
      <c r="H9" s="27">
        <f>SUMIFS('Time Entries'!$J:$J,'Time Entries'!$B:$B,$B9,'Time Entries'!$F:$F,"&gt;="&amp;$D9,'Time Entries'!$F:$F,"&lt;="&amp;$E9,'Time Entries'!$P:$P,"&lt;&gt;Draft",'Time Entries'!$P:$P,"&lt;&gt;Rejected")</f>
        <v/>
      </c>
      <c r="I9" s="28">
        <f>SUMIFS('Time Entries'!$L:$L,'Time Entries'!$B:$B,$B9,'Time Entries'!$F:$F,"&gt;="&amp;$D9,'Time Entries'!$F:$F,"&lt;="&amp;$E9,'Time Entries'!$P:$P,"&lt;&gt;Draft",'Time Entries'!$P:$P,"&lt;&gt;Rejected")</f>
        <v/>
      </c>
      <c r="J9" s="28">
        <f>SUMIFS('Time Entries'!$M:$M,'Time Entries'!$B:$B,$B9,'Time Entries'!$F:$F,"&gt;="&amp;$D9,'Time Entries'!$F:$F,"&lt;="&amp;$E9,'Time Entries'!$P:$P,"&lt;&gt;Draft",'Time Entries'!$P:$P,"&lt;&gt;Rejected")</f>
        <v/>
      </c>
      <c r="K9" s="28">
        <f>SUMIFS('Time Entries'!$N:$N,'Time Entries'!$B:$B,$B9,'Time Entries'!$F:$F,"&gt;="&amp;$D9,'Time Entries'!$F:$F,"&lt;="&amp;$E9,'Time Entries'!$P:$P,"&lt;&gt;Draft",'Time Entries'!$P:$P,"&lt;&gt;Rejected")</f>
        <v/>
      </c>
      <c r="L9" s="28">
        <f>I9+J9-K9</f>
        <v/>
      </c>
      <c r="M9" s="29" t="n"/>
      <c r="N9" s="29" t="n"/>
    </row>
    <row r="10">
      <c r="C10">
        <f>IFERROR(VLOOKUP(B10,Workers!$A:$H,2,FALSE),"")</f>
        <v/>
      </c>
      <c r="D10" s="25" t="n"/>
      <c r="E10" s="25" t="n"/>
      <c r="H10" s="27">
        <f>SUMIFS('Time Entries'!$J:$J,'Time Entries'!$B:$B,$B10,'Time Entries'!$F:$F,"&gt;="&amp;$D10,'Time Entries'!$F:$F,"&lt;="&amp;$E10,'Time Entries'!$P:$P,"&lt;&gt;Draft",'Time Entries'!$P:$P,"&lt;&gt;Rejected")</f>
        <v/>
      </c>
      <c r="I10" s="28">
        <f>SUMIFS('Time Entries'!$L:$L,'Time Entries'!$B:$B,$B10,'Time Entries'!$F:$F,"&gt;="&amp;$D10,'Time Entries'!$F:$F,"&lt;="&amp;$E10,'Time Entries'!$P:$P,"&lt;&gt;Draft",'Time Entries'!$P:$P,"&lt;&gt;Rejected")</f>
        <v/>
      </c>
      <c r="J10" s="28">
        <f>SUMIFS('Time Entries'!$M:$M,'Time Entries'!$B:$B,$B10,'Time Entries'!$F:$F,"&gt;="&amp;$D10,'Time Entries'!$F:$F,"&lt;="&amp;$E10,'Time Entries'!$P:$P,"&lt;&gt;Draft",'Time Entries'!$P:$P,"&lt;&gt;Rejected")</f>
        <v/>
      </c>
      <c r="K10" s="28">
        <f>SUMIFS('Time Entries'!$N:$N,'Time Entries'!$B:$B,$B10,'Time Entries'!$F:$F,"&gt;="&amp;$D10,'Time Entries'!$F:$F,"&lt;="&amp;$E10,'Time Entries'!$P:$P,"&lt;&gt;Draft",'Time Entries'!$P:$P,"&lt;&gt;Rejected")</f>
        <v/>
      </c>
      <c r="L10" s="28">
        <f>I10+J10-K10</f>
        <v/>
      </c>
      <c r="M10" s="29" t="n"/>
      <c r="N10" s="29" t="n"/>
    </row>
    <row r="11">
      <c r="C11">
        <f>IFERROR(VLOOKUP(B11,Workers!$A:$H,2,FALSE),"")</f>
        <v/>
      </c>
      <c r="D11" s="25" t="n"/>
      <c r="E11" s="25" t="n"/>
      <c r="H11" s="27">
        <f>SUMIFS('Time Entries'!$J:$J,'Time Entries'!$B:$B,$B11,'Time Entries'!$F:$F,"&gt;="&amp;$D11,'Time Entries'!$F:$F,"&lt;="&amp;$E11,'Time Entries'!$P:$P,"&lt;&gt;Draft",'Time Entries'!$P:$P,"&lt;&gt;Rejected")</f>
        <v/>
      </c>
      <c r="I11" s="28">
        <f>SUMIFS('Time Entries'!$L:$L,'Time Entries'!$B:$B,$B11,'Time Entries'!$F:$F,"&gt;="&amp;$D11,'Time Entries'!$F:$F,"&lt;="&amp;$E11,'Time Entries'!$P:$P,"&lt;&gt;Draft",'Time Entries'!$P:$P,"&lt;&gt;Rejected")</f>
        <v/>
      </c>
      <c r="J11" s="28">
        <f>SUMIFS('Time Entries'!$M:$M,'Time Entries'!$B:$B,$B11,'Time Entries'!$F:$F,"&gt;="&amp;$D11,'Time Entries'!$F:$F,"&lt;="&amp;$E11,'Time Entries'!$P:$P,"&lt;&gt;Draft",'Time Entries'!$P:$P,"&lt;&gt;Rejected")</f>
        <v/>
      </c>
      <c r="K11" s="28">
        <f>SUMIFS('Time Entries'!$N:$N,'Time Entries'!$B:$B,$B11,'Time Entries'!$F:$F,"&gt;="&amp;$D11,'Time Entries'!$F:$F,"&lt;="&amp;$E11,'Time Entries'!$P:$P,"&lt;&gt;Draft",'Time Entries'!$P:$P,"&lt;&gt;Rejected")</f>
        <v/>
      </c>
      <c r="L11" s="28">
        <f>I11+J11-K11</f>
        <v/>
      </c>
      <c r="M11" s="29" t="n"/>
      <c r="N11" s="29" t="n"/>
    </row>
    <row r="12">
      <c r="C12">
        <f>IFERROR(VLOOKUP(B12,Workers!$A:$H,2,FALSE),"")</f>
        <v/>
      </c>
      <c r="D12" s="25" t="n"/>
      <c r="E12" s="25" t="n"/>
      <c r="H12" s="27">
        <f>SUMIFS('Time Entries'!$J:$J,'Time Entries'!$B:$B,$B12,'Time Entries'!$F:$F,"&gt;="&amp;$D12,'Time Entries'!$F:$F,"&lt;="&amp;$E12,'Time Entries'!$P:$P,"&lt;&gt;Draft",'Time Entries'!$P:$P,"&lt;&gt;Rejected")</f>
        <v/>
      </c>
      <c r="I12" s="28">
        <f>SUMIFS('Time Entries'!$L:$L,'Time Entries'!$B:$B,$B12,'Time Entries'!$F:$F,"&gt;="&amp;$D12,'Time Entries'!$F:$F,"&lt;="&amp;$E12,'Time Entries'!$P:$P,"&lt;&gt;Draft",'Time Entries'!$P:$P,"&lt;&gt;Rejected")</f>
        <v/>
      </c>
      <c r="J12" s="28">
        <f>SUMIFS('Time Entries'!$M:$M,'Time Entries'!$B:$B,$B12,'Time Entries'!$F:$F,"&gt;="&amp;$D12,'Time Entries'!$F:$F,"&lt;="&amp;$E12,'Time Entries'!$P:$P,"&lt;&gt;Draft",'Time Entries'!$P:$P,"&lt;&gt;Rejected")</f>
        <v/>
      </c>
      <c r="K12" s="28">
        <f>SUMIFS('Time Entries'!$N:$N,'Time Entries'!$B:$B,$B12,'Time Entries'!$F:$F,"&gt;="&amp;$D12,'Time Entries'!$F:$F,"&lt;="&amp;$E12,'Time Entries'!$P:$P,"&lt;&gt;Draft",'Time Entries'!$P:$P,"&lt;&gt;Rejected")</f>
        <v/>
      </c>
      <c r="L12" s="28">
        <f>I12+J12-K12</f>
        <v/>
      </c>
      <c r="M12" s="29" t="n"/>
      <c r="N12" s="29" t="n"/>
    </row>
    <row r="13">
      <c r="C13">
        <f>IFERROR(VLOOKUP(B13,Workers!$A:$H,2,FALSE),"")</f>
        <v/>
      </c>
      <c r="D13" s="25" t="n"/>
      <c r="E13" s="25" t="n"/>
      <c r="H13" s="27">
        <f>SUMIFS('Time Entries'!$J:$J,'Time Entries'!$B:$B,$B13,'Time Entries'!$F:$F,"&gt;="&amp;$D13,'Time Entries'!$F:$F,"&lt;="&amp;$E13,'Time Entries'!$P:$P,"&lt;&gt;Draft",'Time Entries'!$P:$P,"&lt;&gt;Rejected")</f>
        <v/>
      </c>
      <c r="I13" s="28">
        <f>SUMIFS('Time Entries'!$L:$L,'Time Entries'!$B:$B,$B13,'Time Entries'!$F:$F,"&gt;="&amp;$D13,'Time Entries'!$F:$F,"&lt;="&amp;$E13,'Time Entries'!$P:$P,"&lt;&gt;Draft",'Time Entries'!$P:$P,"&lt;&gt;Rejected")</f>
        <v/>
      </c>
      <c r="J13" s="28">
        <f>SUMIFS('Time Entries'!$M:$M,'Time Entries'!$B:$B,$B13,'Time Entries'!$F:$F,"&gt;="&amp;$D13,'Time Entries'!$F:$F,"&lt;="&amp;$E13,'Time Entries'!$P:$P,"&lt;&gt;Draft",'Time Entries'!$P:$P,"&lt;&gt;Rejected")</f>
        <v/>
      </c>
      <c r="K13" s="28">
        <f>SUMIFS('Time Entries'!$N:$N,'Time Entries'!$B:$B,$B13,'Time Entries'!$F:$F,"&gt;="&amp;$D13,'Time Entries'!$F:$F,"&lt;="&amp;$E13,'Time Entries'!$P:$P,"&lt;&gt;Draft",'Time Entries'!$P:$P,"&lt;&gt;Rejected")</f>
        <v/>
      </c>
      <c r="L13" s="28">
        <f>I13+J13-K13</f>
        <v/>
      </c>
      <c r="M13" s="29" t="n"/>
      <c r="N13" s="29" t="n"/>
    </row>
    <row r="14">
      <c r="C14">
        <f>IFERROR(VLOOKUP(B14,Workers!$A:$H,2,FALSE),"")</f>
        <v/>
      </c>
      <c r="D14" s="25" t="n"/>
      <c r="E14" s="25" t="n"/>
      <c r="H14" s="27">
        <f>SUMIFS('Time Entries'!$J:$J,'Time Entries'!$B:$B,$B14,'Time Entries'!$F:$F,"&gt;="&amp;$D14,'Time Entries'!$F:$F,"&lt;="&amp;$E14,'Time Entries'!$P:$P,"&lt;&gt;Draft",'Time Entries'!$P:$P,"&lt;&gt;Rejected")</f>
        <v/>
      </c>
      <c r="I14" s="28">
        <f>SUMIFS('Time Entries'!$L:$L,'Time Entries'!$B:$B,$B14,'Time Entries'!$F:$F,"&gt;="&amp;$D14,'Time Entries'!$F:$F,"&lt;="&amp;$E14,'Time Entries'!$P:$P,"&lt;&gt;Draft",'Time Entries'!$P:$P,"&lt;&gt;Rejected")</f>
        <v/>
      </c>
      <c r="J14" s="28">
        <f>SUMIFS('Time Entries'!$M:$M,'Time Entries'!$B:$B,$B14,'Time Entries'!$F:$F,"&gt;="&amp;$D14,'Time Entries'!$F:$F,"&lt;="&amp;$E14,'Time Entries'!$P:$P,"&lt;&gt;Draft",'Time Entries'!$P:$P,"&lt;&gt;Rejected")</f>
        <v/>
      </c>
      <c r="K14" s="28">
        <f>SUMIFS('Time Entries'!$N:$N,'Time Entries'!$B:$B,$B14,'Time Entries'!$F:$F,"&gt;="&amp;$D14,'Time Entries'!$F:$F,"&lt;="&amp;$E14,'Time Entries'!$P:$P,"&lt;&gt;Draft",'Time Entries'!$P:$P,"&lt;&gt;Rejected")</f>
        <v/>
      </c>
      <c r="L14" s="28">
        <f>I14+J14-K14</f>
        <v/>
      </c>
      <c r="M14" s="29" t="n"/>
      <c r="N14" s="29" t="n"/>
    </row>
    <row r="15">
      <c r="C15">
        <f>IFERROR(VLOOKUP(B15,Workers!$A:$H,2,FALSE),"")</f>
        <v/>
      </c>
      <c r="D15" s="25" t="n"/>
      <c r="E15" s="25" t="n"/>
      <c r="H15" s="27">
        <f>SUMIFS('Time Entries'!$J:$J,'Time Entries'!$B:$B,$B15,'Time Entries'!$F:$F,"&gt;="&amp;$D15,'Time Entries'!$F:$F,"&lt;="&amp;$E15,'Time Entries'!$P:$P,"&lt;&gt;Draft",'Time Entries'!$P:$P,"&lt;&gt;Rejected")</f>
        <v/>
      </c>
      <c r="I15" s="28">
        <f>SUMIFS('Time Entries'!$L:$L,'Time Entries'!$B:$B,$B15,'Time Entries'!$F:$F,"&gt;="&amp;$D15,'Time Entries'!$F:$F,"&lt;="&amp;$E15,'Time Entries'!$P:$P,"&lt;&gt;Draft",'Time Entries'!$P:$P,"&lt;&gt;Rejected")</f>
        <v/>
      </c>
      <c r="J15" s="28">
        <f>SUMIFS('Time Entries'!$M:$M,'Time Entries'!$B:$B,$B15,'Time Entries'!$F:$F,"&gt;="&amp;$D15,'Time Entries'!$F:$F,"&lt;="&amp;$E15,'Time Entries'!$P:$P,"&lt;&gt;Draft",'Time Entries'!$P:$P,"&lt;&gt;Rejected")</f>
        <v/>
      </c>
      <c r="K15" s="28">
        <f>SUMIFS('Time Entries'!$N:$N,'Time Entries'!$B:$B,$B15,'Time Entries'!$F:$F,"&gt;="&amp;$D15,'Time Entries'!$F:$F,"&lt;="&amp;$E15,'Time Entries'!$P:$P,"&lt;&gt;Draft",'Time Entries'!$P:$P,"&lt;&gt;Rejected")</f>
        <v/>
      </c>
      <c r="L15" s="28">
        <f>I15+J15-K15</f>
        <v/>
      </c>
      <c r="M15" s="29" t="n"/>
      <c r="N15" s="29" t="n"/>
    </row>
    <row r="16">
      <c r="C16">
        <f>IFERROR(VLOOKUP(B16,Workers!$A:$H,2,FALSE),"")</f>
        <v/>
      </c>
      <c r="D16" s="25" t="n"/>
      <c r="E16" s="25" t="n"/>
      <c r="H16" s="27">
        <f>SUMIFS('Time Entries'!$J:$J,'Time Entries'!$B:$B,$B16,'Time Entries'!$F:$F,"&gt;="&amp;$D16,'Time Entries'!$F:$F,"&lt;="&amp;$E16,'Time Entries'!$P:$P,"&lt;&gt;Draft",'Time Entries'!$P:$P,"&lt;&gt;Rejected")</f>
        <v/>
      </c>
      <c r="I16" s="28">
        <f>SUMIFS('Time Entries'!$L:$L,'Time Entries'!$B:$B,$B16,'Time Entries'!$F:$F,"&gt;="&amp;$D16,'Time Entries'!$F:$F,"&lt;="&amp;$E16,'Time Entries'!$P:$P,"&lt;&gt;Draft",'Time Entries'!$P:$P,"&lt;&gt;Rejected")</f>
        <v/>
      </c>
      <c r="J16" s="28">
        <f>SUMIFS('Time Entries'!$M:$M,'Time Entries'!$B:$B,$B16,'Time Entries'!$F:$F,"&gt;="&amp;$D16,'Time Entries'!$F:$F,"&lt;="&amp;$E16,'Time Entries'!$P:$P,"&lt;&gt;Draft",'Time Entries'!$P:$P,"&lt;&gt;Rejected")</f>
        <v/>
      </c>
      <c r="K16" s="28">
        <f>SUMIFS('Time Entries'!$N:$N,'Time Entries'!$B:$B,$B16,'Time Entries'!$F:$F,"&gt;="&amp;$D16,'Time Entries'!$F:$F,"&lt;="&amp;$E16,'Time Entries'!$P:$P,"&lt;&gt;Draft",'Time Entries'!$P:$P,"&lt;&gt;Rejected")</f>
        <v/>
      </c>
      <c r="L16" s="28">
        <f>I16+J16-K16</f>
        <v/>
      </c>
      <c r="M16" s="29" t="n"/>
      <c r="N16" s="29" t="n"/>
    </row>
    <row r="17">
      <c r="C17">
        <f>IFERROR(VLOOKUP(B17,Workers!$A:$H,2,FALSE),"")</f>
        <v/>
      </c>
      <c r="D17" s="25" t="n"/>
      <c r="E17" s="25" t="n"/>
      <c r="H17" s="27">
        <f>SUMIFS('Time Entries'!$J:$J,'Time Entries'!$B:$B,$B17,'Time Entries'!$F:$F,"&gt;="&amp;$D17,'Time Entries'!$F:$F,"&lt;="&amp;$E17,'Time Entries'!$P:$P,"&lt;&gt;Draft",'Time Entries'!$P:$P,"&lt;&gt;Rejected")</f>
        <v/>
      </c>
      <c r="I17" s="28">
        <f>SUMIFS('Time Entries'!$L:$L,'Time Entries'!$B:$B,$B17,'Time Entries'!$F:$F,"&gt;="&amp;$D17,'Time Entries'!$F:$F,"&lt;="&amp;$E17,'Time Entries'!$P:$P,"&lt;&gt;Draft",'Time Entries'!$P:$P,"&lt;&gt;Rejected")</f>
        <v/>
      </c>
      <c r="J17" s="28">
        <f>SUMIFS('Time Entries'!$M:$M,'Time Entries'!$B:$B,$B17,'Time Entries'!$F:$F,"&gt;="&amp;$D17,'Time Entries'!$F:$F,"&lt;="&amp;$E17,'Time Entries'!$P:$P,"&lt;&gt;Draft",'Time Entries'!$P:$P,"&lt;&gt;Rejected")</f>
        <v/>
      </c>
      <c r="K17" s="28">
        <f>SUMIFS('Time Entries'!$N:$N,'Time Entries'!$B:$B,$B17,'Time Entries'!$F:$F,"&gt;="&amp;$D17,'Time Entries'!$F:$F,"&lt;="&amp;$E17,'Time Entries'!$P:$P,"&lt;&gt;Draft",'Time Entries'!$P:$P,"&lt;&gt;Rejected")</f>
        <v/>
      </c>
      <c r="L17" s="28">
        <f>I17+J17-K17</f>
        <v/>
      </c>
      <c r="M17" s="29" t="n"/>
      <c r="N17" s="29" t="n"/>
    </row>
    <row r="18">
      <c r="C18">
        <f>IFERROR(VLOOKUP(B18,Workers!$A:$H,2,FALSE),"")</f>
        <v/>
      </c>
      <c r="D18" s="25" t="n"/>
      <c r="E18" s="25" t="n"/>
      <c r="H18" s="27">
        <f>SUMIFS('Time Entries'!$J:$J,'Time Entries'!$B:$B,$B18,'Time Entries'!$F:$F,"&gt;="&amp;$D18,'Time Entries'!$F:$F,"&lt;="&amp;$E18,'Time Entries'!$P:$P,"&lt;&gt;Draft",'Time Entries'!$P:$P,"&lt;&gt;Rejected")</f>
        <v/>
      </c>
      <c r="I18" s="28">
        <f>SUMIFS('Time Entries'!$L:$L,'Time Entries'!$B:$B,$B18,'Time Entries'!$F:$F,"&gt;="&amp;$D18,'Time Entries'!$F:$F,"&lt;="&amp;$E18,'Time Entries'!$P:$P,"&lt;&gt;Draft",'Time Entries'!$P:$P,"&lt;&gt;Rejected")</f>
        <v/>
      </c>
      <c r="J18" s="28">
        <f>SUMIFS('Time Entries'!$M:$M,'Time Entries'!$B:$B,$B18,'Time Entries'!$F:$F,"&gt;="&amp;$D18,'Time Entries'!$F:$F,"&lt;="&amp;$E18,'Time Entries'!$P:$P,"&lt;&gt;Draft",'Time Entries'!$P:$P,"&lt;&gt;Rejected")</f>
        <v/>
      </c>
      <c r="K18" s="28">
        <f>SUMIFS('Time Entries'!$N:$N,'Time Entries'!$B:$B,$B18,'Time Entries'!$F:$F,"&gt;="&amp;$D18,'Time Entries'!$F:$F,"&lt;="&amp;$E18,'Time Entries'!$P:$P,"&lt;&gt;Draft",'Time Entries'!$P:$P,"&lt;&gt;Rejected")</f>
        <v/>
      </c>
      <c r="L18" s="28">
        <f>I18+J18-K18</f>
        <v/>
      </c>
      <c r="M18" s="29" t="n"/>
      <c r="N18" s="29" t="n"/>
    </row>
    <row r="19">
      <c r="C19">
        <f>IFERROR(VLOOKUP(B19,Workers!$A:$H,2,FALSE),"")</f>
        <v/>
      </c>
      <c r="D19" s="25" t="n"/>
      <c r="E19" s="25" t="n"/>
      <c r="H19" s="27">
        <f>SUMIFS('Time Entries'!$J:$J,'Time Entries'!$B:$B,$B19,'Time Entries'!$F:$F,"&gt;="&amp;$D19,'Time Entries'!$F:$F,"&lt;="&amp;$E19,'Time Entries'!$P:$P,"&lt;&gt;Draft",'Time Entries'!$P:$P,"&lt;&gt;Rejected")</f>
        <v/>
      </c>
      <c r="I19" s="28">
        <f>SUMIFS('Time Entries'!$L:$L,'Time Entries'!$B:$B,$B19,'Time Entries'!$F:$F,"&gt;="&amp;$D19,'Time Entries'!$F:$F,"&lt;="&amp;$E19,'Time Entries'!$P:$P,"&lt;&gt;Draft",'Time Entries'!$P:$P,"&lt;&gt;Rejected")</f>
        <v/>
      </c>
      <c r="J19" s="28">
        <f>SUMIFS('Time Entries'!$M:$M,'Time Entries'!$B:$B,$B19,'Time Entries'!$F:$F,"&gt;="&amp;$D19,'Time Entries'!$F:$F,"&lt;="&amp;$E19,'Time Entries'!$P:$P,"&lt;&gt;Draft",'Time Entries'!$P:$P,"&lt;&gt;Rejected")</f>
        <v/>
      </c>
      <c r="K19" s="28">
        <f>SUMIFS('Time Entries'!$N:$N,'Time Entries'!$B:$B,$B19,'Time Entries'!$F:$F,"&gt;="&amp;$D19,'Time Entries'!$F:$F,"&lt;="&amp;$E19,'Time Entries'!$P:$P,"&lt;&gt;Draft",'Time Entries'!$P:$P,"&lt;&gt;Rejected")</f>
        <v/>
      </c>
      <c r="L19" s="28">
        <f>I19+J19-K19</f>
        <v/>
      </c>
      <c r="M19" s="29" t="n"/>
      <c r="N19" s="29" t="n"/>
    </row>
    <row r="20">
      <c r="C20">
        <f>IFERROR(VLOOKUP(B20,Workers!$A:$H,2,FALSE),"")</f>
        <v/>
      </c>
      <c r="D20" s="25" t="n"/>
      <c r="E20" s="25" t="n"/>
      <c r="H20" s="27">
        <f>SUMIFS('Time Entries'!$J:$J,'Time Entries'!$B:$B,$B20,'Time Entries'!$F:$F,"&gt;="&amp;$D20,'Time Entries'!$F:$F,"&lt;="&amp;$E20,'Time Entries'!$P:$P,"&lt;&gt;Draft",'Time Entries'!$P:$P,"&lt;&gt;Rejected")</f>
        <v/>
      </c>
      <c r="I20" s="28">
        <f>SUMIFS('Time Entries'!$L:$L,'Time Entries'!$B:$B,$B20,'Time Entries'!$F:$F,"&gt;="&amp;$D20,'Time Entries'!$F:$F,"&lt;="&amp;$E20,'Time Entries'!$P:$P,"&lt;&gt;Draft",'Time Entries'!$P:$P,"&lt;&gt;Rejected")</f>
        <v/>
      </c>
      <c r="J20" s="28">
        <f>SUMIFS('Time Entries'!$M:$M,'Time Entries'!$B:$B,$B20,'Time Entries'!$F:$F,"&gt;="&amp;$D20,'Time Entries'!$F:$F,"&lt;="&amp;$E20,'Time Entries'!$P:$P,"&lt;&gt;Draft",'Time Entries'!$P:$P,"&lt;&gt;Rejected")</f>
        <v/>
      </c>
      <c r="K20" s="28">
        <f>SUMIFS('Time Entries'!$N:$N,'Time Entries'!$B:$B,$B20,'Time Entries'!$F:$F,"&gt;="&amp;$D20,'Time Entries'!$F:$F,"&lt;="&amp;$E20,'Time Entries'!$P:$P,"&lt;&gt;Draft",'Time Entries'!$P:$P,"&lt;&gt;Rejected")</f>
        <v/>
      </c>
      <c r="L20" s="28">
        <f>I20+J20-K20</f>
        <v/>
      </c>
      <c r="M20" s="29" t="n"/>
      <c r="N20" s="29" t="n"/>
    </row>
    <row r="21">
      <c r="C21">
        <f>IFERROR(VLOOKUP(B21,Workers!$A:$H,2,FALSE),"")</f>
        <v/>
      </c>
      <c r="D21" s="25" t="n"/>
      <c r="E21" s="25" t="n"/>
      <c r="H21" s="27">
        <f>SUMIFS('Time Entries'!$J:$J,'Time Entries'!$B:$B,$B21,'Time Entries'!$F:$F,"&gt;="&amp;$D21,'Time Entries'!$F:$F,"&lt;="&amp;$E21,'Time Entries'!$P:$P,"&lt;&gt;Draft",'Time Entries'!$P:$P,"&lt;&gt;Rejected")</f>
        <v/>
      </c>
      <c r="I21" s="28">
        <f>SUMIFS('Time Entries'!$L:$L,'Time Entries'!$B:$B,$B21,'Time Entries'!$F:$F,"&gt;="&amp;$D21,'Time Entries'!$F:$F,"&lt;="&amp;$E21,'Time Entries'!$P:$P,"&lt;&gt;Draft",'Time Entries'!$P:$P,"&lt;&gt;Rejected")</f>
        <v/>
      </c>
      <c r="J21" s="28">
        <f>SUMIFS('Time Entries'!$M:$M,'Time Entries'!$B:$B,$B21,'Time Entries'!$F:$F,"&gt;="&amp;$D21,'Time Entries'!$F:$F,"&lt;="&amp;$E21,'Time Entries'!$P:$P,"&lt;&gt;Draft",'Time Entries'!$P:$P,"&lt;&gt;Rejected")</f>
        <v/>
      </c>
      <c r="K21" s="28">
        <f>SUMIFS('Time Entries'!$N:$N,'Time Entries'!$B:$B,$B21,'Time Entries'!$F:$F,"&gt;="&amp;$D21,'Time Entries'!$F:$F,"&lt;="&amp;$E21,'Time Entries'!$P:$P,"&lt;&gt;Draft",'Time Entries'!$P:$P,"&lt;&gt;Rejected")</f>
        <v/>
      </c>
      <c r="L21" s="28">
        <f>I21+J21-K21</f>
        <v/>
      </c>
      <c r="M21" s="29" t="n"/>
      <c r="N21" s="29" t="n"/>
    </row>
    <row r="22">
      <c r="C22">
        <f>IFERROR(VLOOKUP(B22,Workers!$A:$H,2,FALSE),"")</f>
        <v/>
      </c>
      <c r="D22" s="25" t="n"/>
      <c r="E22" s="25" t="n"/>
      <c r="H22" s="27">
        <f>SUMIFS('Time Entries'!$J:$J,'Time Entries'!$B:$B,$B22,'Time Entries'!$F:$F,"&gt;="&amp;$D22,'Time Entries'!$F:$F,"&lt;="&amp;$E22,'Time Entries'!$P:$P,"&lt;&gt;Draft",'Time Entries'!$P:$P,"&lt;&gt;Rejected")</f>
        <v/>
      </c>
      <c r="I22" s="28">
        <f>SUMIFS('Time Entries'!$L:$L,'Time Entries'!$B:$B,$B22,'Time Entries'!$F:$F,"&gt;="&amp;$D22,'Time Entries'!$F:$F,"&lt;="&amp;$E22,'Time Entries'!$P:$P,"&lt;&gt;Draft",'Time Entries'!$P:$P,"&lt;&gt;Rejected")</f>
        <v/>
      </c>
      <c r="J22" s="28">
        <f>SUMIFS('Time Entries'!$M:$M,'Time Entries'!$B:$B,$B22,'Time Entries'!$F:$F,"&gt;="&amp;$D22,'Time Entries'!$F:$F,"&lt;="&amp;$E22,'Time Entries'!$P:$P,"&lt;&gt;Draft",'Time Entries'!$P:$P,"&lt;&gt;Rejected")</f>
        <v/>
      </c>
      <c r="K22" s="28">
        <f>SUMIFS('Time Entries'!$N:$N,'Time Entries'!$B:$B,$B22,'Time Entries'!$F:$F,"&gt;="&amp;$D22,'Time Entries'!$F:$F,"&lt;="&amp;$E22,'Time Entries'!$P:$P,"&lt;&gt;Draft",'Time Entries'!$P:$P,"&lt;&gt;Rejected")</f>
        <v/>
      </c>
      <c r="L22" s="28">
        <f>I22+J22-K22</f>
        <v/>
      </c>
      <c r="M22" s="29" t="n"/>
      <c r="N22" s="29" t="n"/>
    </row>
    <row r="23">
      <c r="C23">
        <f>IFERROR(VLOOKUP(B23,Workers!$A:$H,2,FALSE),"")</f>
        <v/>
      </c>
      <c r="D23" s="25" t="n"/>
      <c r="E23" s="25" t="n"/>
      <c r="H23" s="27">
        <f>SUMIFS('Time Entries'!$J:$J,'Time Entries'!$B:$B,$B23,'Time Entries'!$F:$F,"&gt;="&amp;$D23,'Time Entries'!$F:$F,"&lt;="&amp;$E23,'Time Entries'!$P:$P,"&lt;&gt;Draft",'Time Entries'!$P:$P,"&lt;&gt;Rejected")</f>
        <v/>
      </c>
      <c r="I23" s="28">
        <f>SUMIFS('Time Entries'!$L:$L,'Time Entries'!$B:$B,$B23,'Time Entries'!$F:$F,"&gt;="&amp;$D23,'Time Entries'!$F:$F,"&lt;="&amp;$E23,'Time Entries'!$P:$P,"&lt;&gt;Draft",'Time Entries'!$P:$P,"&lt;&gt;Rejected")</f>
        <v/>
      </c>
      <c r="J23" s="28">
        <f>SUMIFS('Time Entries'!$M:$M,'Time Entries'!$B:$B,$B23,'Time Entries'!$F:$F,"&gt;="&amp;$D23,'Time Entries'!$F:$F,"&lt;="&amp;$E23,'Time Entries'!$P:$P,"&lt;&gt;Draft",'Time Entries'!$P:$P,"&lt;&gt;Rejected")</f>
        <v/>
      </c>
      <c r="K23" s="28">
        <f>SUMIFS('Time Entries'!$N:$N,'Time Entries'!$B:$B,$B23,'Time Entries'!$F:$F,"&gt;="&amp;$D23,'Time Entries'!$F:$F,"&lt;="&amp;$E23,'Time Entries'!$P:$P,"&lt;&gt;Draft",'Time Entries'!$P:$P,"&lt;&gt;Rejected")</f>
        <v/>
      </c>
      <c r="L23" s="28">
        <f>I23+J23-K23</f>
        <v/>
      </c>
      <c r="M23" s="29" t="n"/>
      <c r="N23" s="29" t="n"/>
    </row>
    <row r="24">
      <c r="C24">
        <f>IFERROR(VLOOKUP(B24,Workers!$A:$H,2,FALSE),"")</f>
        <v/>
      </c>
      <c r="D24" s="25" t="n"/>
      <c r="E24" s="25" t="n"/>
      <c r="H24" s="27">
        <f>SUMIFS('Time Entries'!$J:$J,'Time Entries'!$B:$B,$B24,'Time Entries'!$F:$F,"&gt;="&amp;$D24,'Time Entries'!$F:$F,"&lt;="&amp;$E24,'Time Entries'!$P:$P,"&lt;&gt;Draft",'Time Entries'!$P:$P,"&lt;&gt;Rejected")</f>
        <v/>
      </c>
      <c r="I24" s="28">
        <f>SUMIFS('Time Entries'!$L:$L,'Time Entries'!$B:$B,$B24,'Time Entries'!$F:$F,"&gt;="&amp;$D24,'Time Entries'!$F:$F,"&lt;="&amp;$E24,'Time Entries'!$P:$P,"&lt;&gt;Draft",'Time Entries'!$P:$P,"&lt;&gt;Rejected")</f>
        <v/>
      </c>
      <c r="J24" s="28">
        <f>SUMIFS('Time Entries'!$M:$M,'Time Entries'!$B:$B,$B24,'Time Entries'!$F:$F,"&gt;="&amp;$D24,'Time Entries'!$F:$F,"&lt;="&amp;$E24,'Time Entries'!$P:$P,"&lt;&gt;Draft",'Time Entries'!$P:$P,"&lt;&gt;Rejected")</f>
        <v/>
      </c>
      <c r="K24" s="28">
        <f>SUMIFS('Time Entries'!$N:$N,'Time Entries'!$B:$B,$B24,'Time Entries'!$F:$F,"&gt;="&amp;$D24,'Time Entries'!$F:$F,"&lt;="&amp;$E24,'Time Entries'!$P:$P,"&lt;&gt;Draft",'Time Entries'!$P:$P,"&lt;&gt;Rejected")</f>
        <v/>
      </c>
      <c r="L24" s="28">
        <f>I24+J24-K24</f>
        <v/>
      </c>
      <c r="M24" s="29" t="n"/>
      <c r="N24" s="29" t="n"/>
    </row>
    <row r="25">
      <c r="C25">
        <f>IFERROR(VLOOKUP(B25,Workers!$A:$H,2,FALSE),"")</f>
        <v/>
      </c>
      <c r="D25" s="25" t="n"/>
      <c r="E25" s="25" t="n"/>
      <c r="H25" s="27">
        <f>SUMIFS('Time Entries'!$J:$J,'Time Entries'!$B:$B,$B25,'Time Entries'!$F:$F,"&gt;="&amp;$D25,'Time Entries'!$F:$F,"&lt;="&amp;$E25,'Time Entries'!$P:$P,"&lt;&gt;Draft",'Time Entries'!$P:$P,"&lt;&gt;Rejected")</f>
        <v/>
      </c>
      <c r="I25" s="28">
        <f>SUMIFS('Time Entries'!$L:$L,'Time Entries'!$B:$B,$B25,'Time Entries'!$F:$F,"&gt;="&amp;$D25,'Time Entries'!$F:$F,"&lt;="&amp;$E25,'Time Entries'!$P:$P,"&lt;&gt;Draft",'Time Entries'!$P:$P,"&lt;&gt;Rejected")</f>
        <v/>
      </c>
      <c r="J25" s="28">
        <f>SUMIFS('Time Entries'!$M:$M,'Time Entries'!$B:$B,$B25,'Time Entries'!$F:$F,"&gt;="&amp;$D25,'Time Entries'!$F:$F,"&lt;="&amp;$E25,'Time Entries'!$P:$P,"&lt;&gt;Draft",'Time Entries'!$P:$P,"&lt;&gt;Rejected")</f>
        <v/>
      </c>
      <c r="K25" s="28">
        <f>SUMIFS('Time Entries'!$N:$N,'Time Entries'!$B:$B,$B25,'Time Entries'!$F:$F,"&gt;="&amp;$D25,'Time Entries'!$F:$F,"&lt;="&amp;$E25,'Time Entries'!$P:$P,"&lt;&gt;Draft",'Time Entries'!$P:$P,"&lt;&gt;Rejected")</f>
        <v/>
      </c>
      <c r="L25" s="28">
        <f>I25+J25-K25</f>
        <v/>
      </c>
      <c r="M25" s="29" t="n"/>
      <c r="N25" s="29" t="n"/>
    </row>
    <row r="26">
      <c r="C26">
        <f>IFERROR(VLOOKUP(B26,Workers!$A:$H,2,FALSE),"")</f>
        <v/>
      </c>
      <c r="D26" s="25" t="n"/>
      <c r="E26" s="25" t="n"/>
      <c r="H26" s="27">
        <f>SUMIFS('Time Entries'!$J:$J,'Time Entries'!$B:$B,$B26,'Time Entries'!$F:$F,"&gt;="&amp;$D26,'Time Entries'!$F:$F,"&lt;="&amp;$E26,'Time Entries'!$P:$P,"&lt;&gt;Draft",'Time Entries'!$P:$P,"&lt;&gt;Rejected")</f>
        <v/>
      </c>
      <c r="I26" s="28">
        <f>SUMIFS('Time Entries'!$L:$L,'Time Entries'!$B:$B,$B26,'Time Entries'!$F:$F,"&gt;="&amp;$D26,'Time Entries'!$F:$F,"&lt;="&amp;$E26,'Time Entries'!$P:$P,"&lt;&gt;Draft",'Time Entries'!$P:$P,"&lt;&gt;Rejected")</f>
        <v/>
      </c>
      <c r="J26" s="28">
        <f>SUMIFS('Time Entries'!$M:$M,'Time Entries'!$B:$B,$B26,'Time Entries'!$F:$F,"&gt;="&amp;$D26,'Time Entries'!$F:$F,"&lt;="&amp;$E26,'Time Entries'!$P:$P,"&lt;&gt;Draft",'Time Entries'!$P:$P,"&lt;&gt;Rejected")</f>
        <v/>
      </c>
      <c r="K26" s="28">
        <f>SUMIFS('Time Entries'!$N:$N,'Time Entries'!$B:$B,$B26,'Time Entries'!$F:$F,"&gt;="&amp;$D26,'Time Entries'!$F:$F,"&lt;="&amp;$E26,'Time Entries'!$P:$P,"&lt;&gt;Draft",'Time Entries'!$P:$P,"&lt;&gt;Rejected")</f>
        <v/>
      </c>
      <c r="L26" s="28">
        <f>I26+J26-K26</f>
        <v/>
      </c>
      <c r="M26" s="29" t="n"/>
      <c r="N26" s="29" t="n"/>
    </row>
    <row r="27">
      <c r="C27">
        <f>IFERROR(VLOOKUP(B27,Workers!$A:$H,2,FALSE),"")</f>
        <v/>
      </c>
      <c r="D27" s="25" t="n"/>
      <c r="E27" s="25" t="n"/>
      <c r="H27" s="27">
        <f>SUMIFS('Time Entries'!$J:$J,'Time Entries'!$B:$B,$B27,'Time Entries'!$F:$F,"&gt;="&amp;$D27,'Time Entries'!$F:$F,"&lt;="&amp;$E27,'Time Entries'!$P:$P,"&lt;&gt;Draft",'Time Entries'!$P:$P,"&lt;&gt;Rejected")</f>
        <v/>
      </c>
      <c r="I27" s="28">
        <f>SUMIFS('Time Entries'!$L:$L,'Time Entries'!$B:$B,$B27,'Time Entries'!$F:$F,"&gt;="&amp;$D27,'Time Entries'!$F:$F,"&lt;="&amp;$E27,'Time Entries'!$P:$P,"&lt;&gt;Draft",'Time Entries'!$P:$P,"&lt;&gt;Rejected")</f>
        <v/>
      </c>
      <c r="J27" s="28">
        <f>SUMIFS('Time Entries'!$M:$M,'Time Entries'!$B:$B,$B27,'Time Entries'!$F:$F,"&gt;="&amp;$D27,'Time Entries'!$F:$F,"&lt;="&amp;$E27,'Time Entries'!$P:$P,"&lt;&gt;Draft",'Time Entries'!$P:$P,"&lt;&gt;Rejected")</f>
        <v/>
      </c>
      <c r="K27" s="28">
        <f>SUMIFS('Time Entries'!$N:$N,'Time Entries'!$B:$B,$B27,'Time Entries'!$F:$F,"&gt;="&amp;$D27,'Time Entries'!$F:$F,"&lt;="&amp;$E27,'Time Entries'!$P:$P,"&lt;&gt;Draft",'Time Entries'!$P:$P,"&lt;&gt;Rejected")</f>
        <v/>
      </c>
      <c r="L27" s="28">
        <f>I27+J27-K27</f>
        <v/>
      </c>
      <c r="M27" s="29" t="n"/>
      <c r="N27" s="29" t="n"/>
    </row>
    <row r="28">
      <c r="C28">
        <f>IFERROR(VLOOKUP(B28,Workers!$A:$H,2,FALSE),"")</f>
        <v/>
      </c>
      <c r="D28" s="25" t="n"/>
      <c r="E28" s="25" t="n"/>
      <c r="H28" s="27">
        <f>SUMIFS('Time Entries'!$J:$J,'Time Entries'!$B:$B,$B28,'Time Entries'!$F:$F,"&gt;="&amp;$D28,'Time Entries'!$F:$F,"&lt;="&amp;$E28,'Time Entries'!$P:$P,"&lt;&gt;Draft",'Time Entries'!$P:$P,"&lt;&gt;Rejected")</f>
        <v/>
      </c>
      <c r="I28" s="28">
        <f>SUMIFS('Time Entries'!$L:$L,'Time Entries'!$B:$B,$B28,'Time Entries'!$F:$F,"&gt;="&amp;$D28,'Time Entries'!$F:$F,"&lt;="&amp;$E28,'Time Entries'!$P:$P,"&lt;&gt;Draft",'Time Entries'!$P:$P,"&lt;&gt;Rejected")</f>
        <v/>
      </c>
      <c r="J28" s="28">
        <f>SUMIFS('Time Entries'!$M:$M,'Time Entries'!$B:$B,$B28,'Time Entries'!$F:$F,"&gt;="&amp;$D28,'Time Entries'!$F:$F,"&lt;="&amp;$E28,'Time Entries'!$P:$P,"&lt;&gt;Draft",'Time Entries'!$P:$P,"&lt;&gt;Rejected")</f>
        <v/>
      </c>
      <c r="K28" s="28">
        <f>SUMIFS('Time Entries'!$N:$N,'Time Entries'!$B:$B,$B28,'Time Entries'!$F:$F,"&gt;="&amp;$D28,'Time Entries'!$F:$F,"&lt;="&amp;$E28,'Time Entries'!$P:$P,"&lt;&gt;Draft",'Time Entries'!$P:$P,"&lt;&gt;Rejected")</f>
        <v/>
      </c>
      <c r="L28" s="28">
        <f>I28+J28-K28</f>
        <v/>
      </c>
      <c r="M28" s="29" t="n"/>
      <c r="N28" s="29" t="n"/>
    </row>
    <row r="29">
      <c r="C29">
        <f>IFERROR(VLOOKUP(B29,Workers!$A:$H,2,FALSE),"")</f>
        <v/>
      </c>
      <c r="D29" s="25" t="n"/>
      <c r="E29" s="25" t="n"/>
      <c r="H29" s="27">
        <f>SUMIFS('Time Entries'!$J:$J,'Time Entries'!$B:$B,$B29,'Time Entries'!$F:$F,"&gt;="&amp;$D29,'Time Entries'!$F:$F,"&lt;="&amp;$E29,'Time Entries'!$P:$P,"&lt;&gt;Draft",'Time Entries'!$P:$P,"&lt;&gt;Rejected")</f>
        <v/>
      </c>
      <c r="I29" s="28">
        <f>SUMIFS('Time Entries'!$L:$L,'Time Entries'!$B:$B,$B29,'Time Entries'!$F:$F,"&gt;="&amp;$D29,'Time Entries'!$F:$F,"&lt;="&amp;$E29,'Time Entries'!$P:$P,"&lt;&gt;Draft",'Time Entries'!$P:$P,"&lt;&gt;Rejected")</f>
        <v/>
      </c>
      <c r="J29" s="28">
        <f>SUMIFS('Time Entries'!$M:$M,'Time Entries'!$B:$B,$B29,'Time Entries'!$F:$F,"&gt;="&amp;$D29,'Time Entries'!$F:$F,"&lt;="&amp;$E29,'Time Entries'!$P:$P,"&lt;&gt;Draft",'Time Entries'!$P:$P,"&lt;&gt;Rejected")</f>
        <v/>
      </c>
      <c r="K29" s="28">
        <f>SUMIFS('Time Entries'!$N:$N,'Time Entries'!$B:$B,$B29,'Time Entries'!$F:$F,"&gt;="&amp;$D29,'Time Entries'!$F:$F,"&lt;="&amp;$E29,'Time Entries'!$P:$P,"&lt;&gt;Draft",'Time Entries'!$P:$P,"&lt;&gt;Rejected")</f>
        <v/>
      </c>
      <c r="L29" s="28">
        <f>I29+J29-K29</f>
        <v/>
      </c>
      <c r="M29" s="29" t="n"/>
      <c r="N29" s="29" t="n"/>
    </row>
    <row r="30">
      <c r="C30">
        <f>IFERROR(VLOOKUP(B30,Workers!$A:$H,2,FALSE),"")</f>
        <v/>
      </c>
      <c r="D30" s="25" t="n"/>
      <c r="E30" s="25" t="n"/>
      <c r="H30" s="27">
        <f>SUMIFS('Time Entries'!$J:$J,'Time Entries'!$B:$B,$B30,'Time Entries'!$F:$F,"&gt;="&amp;$D30,'Time Entries'!$F:$F,"&lt;="&amp;$E30,'Time Entries'!$P:$P,"&lt;&gt;Draft",'Time Entries'!$P:$P,"&lt;&gt;Rejected")</f>
        <v/>
      </c>
      <c r="I30" s="28">
        <f>SUMIFS('Time Entries'!$L:$L,'Time Entries'!$B:$B,$B30,'Time Entries'!$F:$F,"&gt;="&amp;$D30,'Time Entries'!$F:$F,"&lt;="&amp;$E30,'Time Entries'!$P:$P,"&lt;&gt;Draft",'Time Entries'!$P:$P,"&lt;&gt;Rejected")</f>
        <v/>
      </c>
      <c r="J30" s="28">
        <f>SUMIFS('Time Entries'!$M:$M,'Time Entries'!$B:$B,$B30,'Time Entries'!$F:$F,"&gt;="&amp;$D30,'Time Entries'!$F:$F,"&lt;="&amp;$E30,'Time Entries'!$P:$P,"&lt;&gt;Draft",'Time Entries'!$P:$P,"&lt;&gt;Rejected")</f>
        <v/>
      </c>
      <c r="K30" s="28">
        <f>SUMIFS('Time Entries'!$N:$N,'Time Entries'!$B:$B,$B30,'Time Entries'!$F:$F,"&gt;="&amp;$D30,'Time Entries'!$F:$F,"&lt;="&amp;$E30,'Time Entries'!$P:$P,"&lt;&gt;Draft",'Time Entries'!$P:$P,"&lt;&gt;Rejected")</f>
        <v/>
      </c>
      <c r="L30" s="28">
        <f>I30+J30-K30</f>
        <v/>
      </c>
      <c r="M30" s="29" t="n"/>
      <c r="N30" s="29" t="n"/>
    </row>
    <row r="31">
      <c r="C31">
        <f>IFERROR(VLOOKUP(B31,Workers!$A:$H,2,FALSE),"")</f>
        <v/>
      </c>
      <c r="D31" s="25" t="n"/>
      <c r="E31" s="25" t="n"/>
      <c r="H31" s="27">
        <f>SUMIFS('Time Entries'!$J:$J,'Time Entries'!$B:$B,$B31,'Time Entries'!$F:$F,"&gt;="&amp;$D31,'Time Entries'!$F:$F,"&lt;="&amp;$E31,'Time Entries'!$P:$P,"&lt;&gt;Draft",'Time Entries'!$P:$P,"&lt;&gt;Rejected")</f>
        <v/>
      </c>
      <c r="I31" s="28">
        <f>SUMIFS('Time Entries'!$L:$L,'Time Entries'!$B:$B,$B31,'Time Entries'!$F:$F,"&gt;="&amp;$D31,'Time Entries'!$F:$F,"&lt;="&amp;$E31,'Time Entries'!$P:$P,"&lt;&gt;Draft",'Time Entries'!$P:$P,"&lt;&gt;Rejected")</f>
        <v/>
      </c>
      <c r="J31" s="28">
        <f>SUMIFS('Time Entries'!$M:$M,'Time Entries'!$B:$B,$B31,'Time Entries'!$F:$F,"&gt;="&amp;$D31,'Time Entries'!$F:$F,"&lt;="&amp;$E31,'Time Entries'!$P:$P,"&lt;&gt;Draft",'Time Entries'!$P:$P,"&lt;&gt;Rejected")</f>
        <v/>
      </c>
      <c r="K31" s="28">
        <f>SUMIFS('Time Entries'!$N:$N,'Time Entries'!$B:$B,$B31,'Time Entries'!$F:$F,"&gt;="&amp;$D31,'Time Entries'!$F:$F,"&lt;="&amp;$E31,'Time Entries'!$P:$P,"&lt;&gt;Draft",'Time Entries'!$P:$P,"&lt;&gt;Rejected")</f>
        <v/>
      </c>
      <c r="L31" s="28">
        <f>I31+J31-K31</f>
        <v/>
      </c>
      <c r="M31" s="29" t="n"/>
      <c r="N31" s="29" t="n"/>
    </row>
    <row r="32">
      <c r="C32">
        <f>IFERROR(VLOOKUP(B32,Workers!$A:$H,2,FALSE),"")</f>
        <v/>
      </c>
      <c r="D32" s="25" t="n"/>
      <c r="E32" s="25" t="n"/>
      <c r="H32" s="27">
        <f>SUMIFS('Time Entries'!$J:$J,'Time Entries'!$B:$B,$B32,'Time Entries'!$F:$F,"&gt;="&amp;$D32,'Time Entries'!$F:$F,"&lt;="&amp;$E32,'Time Entries'!$P:$P,"&lt;&gt;Draft",'Time Entries'!$P:$P,"&lt;&gt;Rejected")</f>
        <v/>
      </c>
      <c r="I32" s="28">
        <f>SUMIFS('Time Entries'!$L:$L,'Time Entries'!$B:$B,$B32,'Time Entries'!$F:$F,"&gt;="&amp;$D32,'Time Entries'!$F:$F,"&lt;="&amp;$E32,'Time Entries'!$P:$P,"&lt;&gt;Draft",'Time Entries'!$P:$P,"&lt;&gt;Rejected")</f>
        <v/>
      </c>
      <c r="J32" s="28">
        <f>SUMIFS('Time Entries'!$M:$M,'Time Entries'!$B:$B,$B32,'Time Entries'!$F:$F,"&gt;="&amp;$D32,'Time Entries'!$F:$F,"&lt;="&amp;$E32,'Time Entries'!$P:$P,"&lt;&gt;Draft",'Time Entries'!$P:$P,"&lt;&gt;Rejected")</f>
        <v/>
      </c>
      <c r="K32" s="28">
        <f>SUMIFS('Time Entries'!$N:$N,'Time Entries'!$B:$B,$B32,'Time Entries'!$F:$F,"&gt;="&amp;$D32,'Time Entries'!$F:$F,"&lt;="&amp;$E32,'Time Entries'!$P:$P,"&lt;&gt;Draft",'Time Entries'!$P:$P,"&lt;&gt;Rejected")</f>
        <v/>
      </c>
      <c r="L32" s="28">
        <f>I32+J32-K32</f>
        <v/>
      </c>
      <c r="M32" s="29" t="n"/>
      <c r="N32" s="29" t="n"/>
    </row>
    <row r="33">
      <c r="C33">
        <f>IFERROR(VLOOKUP(B33,Workers!$A:$H,2,FALSE),"")</f>
        <v/>
      </c>
      <c r="D33" s="25" t="n"/>
      <c r="E33" s="25" t="n"/>
      <c r="H33" s="27">
        <f>SUMIFS('Time Entries'!$J:$J,'Time Entries'!$B:$B,$B33,'Time Entries'!$F:$F,"&gt;="&amp;$D33,'Time Entries'!$F:$F,"&lt;="&amp;$E33,'Time Entries'!$P:$P,"&lt;&gt;Draft",'Time Entries'!$P:$P,"&lt;&gt;Rejected")</f>
        <v/>
      </c>
      <c r="I33" s="28">
        <f>SUMIFS('Time Entries'!$L:$L,'Time Entries'!$B:$B,$B33,'Time Entries'!$F:$F,"&gt;="&amp;$D33,'Time Entries'!$F:$F,"&lt;="&amp;$E33,'Time Entries'!$P:$P,"&lt;&gt;Draft",'Time Entries'!$P:$P,"&lt;&gt;Rejected")</f>
        <v/>
      </c>
      <c r="J33" s="28">
        <f>SUMIFS('Time Entries'!$M:$M,'Time Entries'!$B:$B,$B33,'Time Entries'!$F:$F,"&gt;="&amp;$D33,'Time Entries'!$F:$F,"&lt;="&amp;$E33,'Time Entries'!$P:$P,"&lt;&gt;Draft",'Time Entries'!$P:$P,"&lt;&gt;Rejected")</f>
        <v/>
      </c>
      <c r="K33" s="28">
        <f>SUMIFS('Time Entries'!$N:$N,'Time Entries'!$B:$B,$B33,'Time Entries'!$F:$F,"&gt;="&amp;$D33,'Time Entries'!$F:$F,"&lt;="&amp;$E33,'Time Entries'!$P:$P,"&lt;&gt;Draft",'Time Entries'!$P:$P,"&lt;&gt;Rejected")</f>
        <v/>
      </c>
      <c r="L33" s="28">
        <f>I33+J33-K33</f>
        <v/>
      </c>
      <c r="M33" s="29" t="n"/>
      <c r="N33" s="29" t="n"/>
    </row>
    <row r="34">
      <c r="C34">
        <f>IFERROR(VLOOKUP(B34,Workers!$A:$H,2,FALSE),"")</f>
        <v/>
      </c>
      <c r="D34" s="25" t="n"/>
      <c r="E34" s="25" t="n"/>
      <c r="H34" s="27">
        <f>SUMIFS('Time Entries'!$J:$J,'Time Entries'!$B:$B,$B34,'Time Entries'!$F:$F,"&gt;="&amp;$D34,'Time Entries'!$F:$F,"&lt;="&amp;$E34,'Time Entries'!$P:$P,"&lt;&gt;Draft",'Time Entries'!$P:$P,"&lt;&gt;Rejected")</f>
        <v/>
      </c>
      <c r="I34" s="28">
        <f>SUMIFS('Time Entries'!$L:$L,'Time Entries'!$B:$B,$B34,'Time Entries'!$F:$F,"&gt;="&amp;$D34,'Time Entries'!$F:$F,"&lt;="&amp;$E34,'Time Entries'!$P:$P,"&lt;&gt;Draft",'Time Entries'!$P:$P,"&lt;&gt;Rejected")</f>
        <v/>
      </c>
      <c r="J34" s="28">
        <f>SUMIFS('Time Entries'!$M:$M,'Time Entries'!$B:$B,$B34,'Time Entries'!$F:$F,"&gt;="&amp;$D34,'Time Entries'!$F:$F,"&lt;="&amp;$E34,'Time Entries'!$P:$P,"&lt;&gt;Draft",'Time Entries'!$P:$P,"&lt;&gt;Rejected")</f>
        <v/>
      </c>
      <c r="K34" s="28">
        <f>SUMIFS('Time Entries'!$N:$N,'Time Entries'!$B:$B,$B34,'Time Entries'!$F:$F,"&gt;="&amp;$D34,'Time Entries'!$F:$F,"&lt;="&amp;$E34,'Time Entries'!$P:$P,"&lt;&gt;Draft",'Time Entries'!$P:$P,"&lt;&gt;Rejected")</f>
        <v/>
      </c>
      <c r="L34" s="28">
        <f>I34+J34-K34</f>
        <v/>
      </c>
      <c r="M34" s="29" t="n"/>
      <c r="N34" s="29" t="n"/>
    </row>
    <row r="35">
      <c r="C35">
        <f>IFERROR(VLOOKUP(B35,Workers!$A:$H,2,FALSE),"")</f>
        <v/>
      </c>
      <c r="D35" s="25" t="n"/>
      <c r="E35" s="25" t="n"/>
      <c r="H35" s="27">
        <f>SUMIFS('Time Entries'!$J:$J,'Time Entries'!$B:$B,$B35,'Time Entries'!$F:$F,"&gt;="&amp;$D35,'Time Entries'!$F:$F,"&lt;="&amp;$E35,'Time Entries'!$P:$P,"&lt;&gt;Draft",'Time Entries'!$P:$P,"&lt;&gt;Rejected")</f>
        <v/>
      </c>
      <c r="I35" s="28">
        <f>SUMIFS('Time Entries'!$L:$L,'Time Entries'!$B:$B,$B35,'Time Entries'!$F:$F,"&gt;="&amp;$D35,'Time Entries'!$F:$F,"&lt;="&amp;$E35,'Time Entries'!$P:$P,"&lt;&gt;Draft",'Time Entries'!$P:$P,"&lt;&gt;Rejected")</f>
        <v/>
      </c>
      <c r="J35" s="28">
        <f>SUMIFS('Time Entries'!$M:$M,'Time Entries'!$B:$B,$B35,'Time Entries'!$F:$F,"&gt;="&amp;$D35,'Time Entries'!$F:$F,"&lt;="&amp;$E35,'Time Entries'!$P:$P,"&lt;&gt;Draft",'Time Entries'!$P:$P,"&lt;&gt;Rejected")</f>
        <v/>
      </c>
      <c r="K35" s="28">
        <f>SUMIFS('Time Entries'!$N:$N,'Time Entries'!$B:$B,$B35,'Time Entries'!$F:$F,"&gt;="&amp;$D35,'Time Entries'!$F:$F,"&lt;="&amp;$E35,'Time Entries'!$P:$P,"&lt;&gt;Draft",'Time Entries'!$P:$P,"&lt;&gt;Rejected")</f>
        <v/>
      </c>
      <c r="L35" s="28">
        <f>I35+J35-K35</f>
        <v/>
      </c>
      <c r="M35" s="29" t="n"/>
      <c r="N35" s="29" t="n"/>
    </row>
    <row r="36">
      <c r="C36">
        <f>IFERROR(VLOOKUP(B36,Workers!$A:$H,2,FALSE),"")</f>
        <v/>
      </c>
      <c r="D36" s="25" t="n"/>
      <c r="E36" s="25" t="n"/>
      <c r="H36" s="27">
        <f>SUMIFS('Time Entries'!$J:$J,'Time Entries'!$B:$B,$B36,'Time Entries'!$F:$F,"&gt;="&amp;$D36,'Time Entries'!$F:$F,"&lt;="&amp;$E36,'Time Entries'!$P:$P,"&lt;&gt;Draft",'Time Entries'!$P:$P,"&lt;&gt;Rejected")</f>
        <v/>
      </c>
      <c r="I36" s="28">
        <f>SUMIFS('Time Entries'!$L:$L,'Time Entries'!$B:$B,$B36,'Time Entries'!$F:$F,"&gt;="&amp;$D36,'Time Entries'!$F:$F,"&lt;="&amp;$E36,'Time Entries'!$P:$P,"&lt;&gt;Draft",'Time Entries'!$P:$P,"&lt;&gt;Rejected")</f>
        <v/>
      </c>
      <c r="J36" s="28">
        <f>SUMIFS('Time Entries'!$M:$M,'Time Entries'!$B:$B,$B36,'Time Entries'!$F:$F,"&gt;="&amp;$D36,'Time Entries'!$F:$F,"&lt;="&amp;$E36,'Time Entries'!$P:$P,"&lt;&gt;Draft",'Time Entries'!$P:$P,"&lt;&gt;Rejected")</f>
        <v/>
      </c>
      <c r="K36" s="28">
        <f>SUMIFS('Time Entries'!$N:$N,'Time Entries'!$B:$B,$B36,'Time Entries'!$F:$F,"&gt;="&amp;$D36,'Time Entries'!$F:$F,"&lt;="&amp;$E36,'Time Entries'!$P:$P,"&lt;&gt;Draft",'Time Entries'!$P:$P,"&lt;&gt;Rejected")</f>
        <v/>
      </c>
      <c r="L36" s="28">
        <f>I36+J36-K36</f>
        <v/>
      </c>
      <c r="M36" s="29" t="n"/>
      <c r="N36" s="29" t="n"/>
    </row>
    <row r="37">
      <c r="C37">
        <f>IFERROR(VLOOKUP(B37,Workers!$A:$H,2,FALSE),"")</f>
        <v/>
      </c>
      <c r="D37" s="25" t="n"/>
      <c r="E37" s="25" t="n"/>
      <c r="H37" s="27">
        <f>SUMIFS('Time Entries'!$J:$J,'Time Entries'!$B:$B,$B37,'Time Entries'!$F:$F,"&gt;="&amp;$D37,'Time Entries'!$F:$F,"&lt;="&amp;$E37,'Time Entries'!$P:$P,"&lt;&gt;Draft",'Time Entries'!$P:$P,"&lt;&gt;Rejected")</f>
        <v/>
      </c>
      <c r="I37" s="28">
        <f>SUMIFS('Time Entries'!$L:$L,'Time Entries'!$B:$B,$B37,'Time Entries'!$F:$F,"&gt;="&amp;$D37,'Time Entries'!$F:$F,"&lt;="&amp;$E37,'Time Entries'!$P:$P,"&lt;&gt;Draft",'Time Entries'!$P:$P,"&lt;&gt;Rejected")</f>
        <v/>
      </c>
      <c r="J37" s="28">
        <f>SUMIFS('Time Entries'!$M:$M,'Time Entries'!$B:$B,$B37,'Time Entries'!$F:$F,"&gt;="&amp;$D37,'Time Entries'!$F:$F,"&lt;="&amp;$E37,'Time Entries'!$P:$P,"&lt;&gt;Draft",'Time Entries'!$P:$P,"&lt;&gt;Rejected")</f>
        <v/>
      </c>
      <c r="K37" s="28">
        <f>SUMIFS('Time Entries'!$N:$N,'Time Entries'!$B:$B,$B37,'Time Entries'!$F:$F,"&gt;="&amp;$D37,'Time Entries'!$F:$F,"&lt;="&amp;$E37,'Time Entries'!$P:$P,"&lt;&gt;Draft",'Time Entries'!$P:$P,"&lt;&gt;Rejected")</f>
        <v/>
      </c>
      <c r="L37" s="28">
        <f>I37+J37-K37</f>
        <v/>
      </c>
      <c r="M37" s="29" t="n"/>
      <c r="N37" s="29" t="n"/>
    </row>
    <row r="38">
      <c r="C38">
        <f>IFERROR(VLOOKUP(B38,Workers!$A:$H,2,FALSE),"")</f>
        <v/>
      </c>
      <c r="D38" s="25" t="n"/>
      <c r="E38" s="25" t="n"/>
      <c r="H38" s="27">
        <f>SUMIFS('Time Entries'!$J:$J,'Time Entries'!$B:$B,$B38,'Time Entries'!$F:$F,"&gt;="&amp;$D38,'Time Entries'!$F:$F,"&lt;="&amp;$E38,'Time Entries'!$P:$P,"&lt;&gt;Draft",'Time Entries'!$P:$P,"&lt;&gt;Rejected")</f>
        <v/>
      </c>
      <c r="I38" s="28">
        <f>SUMIFS('Time Entries'!$L:$L,'Time Entries'!$B:$B,$B38,'Time Entries'!$F:$F,"&gt;="&amp;$D38,'Time Entries'!$F:$F,"&lt;="&amp;$E38,'Time Entries'!$P:$P,"&lt;&gt;Draft",'Time Entries'!$P:$P,"&lt;&gt;Rejected")</f>
        <v/>
      </c>
      <c r="J38" s="28">
        <f>SUMIFS('Time Entries'!$M:$M,'Time Entries'!$B:$B,$B38,'Time Entries'!$F:$F,"&gt;="&amp;$D38,'Time Entries'!$F:$F,"&lt;="&amp;$E38,'Time Entries'!$P:$P,"&lt;&gt;Draft",'Time Entries'!$P:$P,"&lt;&gt;Rejected")</f>
        <v/>
      </c>
      <c r="K38" s="28">
        <f>SUMIFS('Time Entries'!$N:$N,'Time Entries'!$B:$B,$B38,'Time Entries'!$F:$F,"&gt;="&amp;$D38,'Time Entries'!$F:$F,"&lt;="&amp;$E38,'Time Entries'!$P:$P,"&lt;&gt;Draft",'Time Entries'!$P:$P,"&lt;&gt;Rejected")</f>
        <v/>
      </c>
      <c r="L38" s="28">
        <f>I38+J38-K38</f>
        <v/>
      </c>
      <c r="M38" s="29" t="n"/>
      <c r="N38" s="29" t="n"/>
    </row>
    <row r="39">
      <c r="C39">
        <f>IFERROR(VLOOKUP(B39,Workers!$A:$H,2,FALSE),"")</f>
        <v/>
      </c>
      <c r="D39" s="25" t="n"/>
      <c r="E39" s="25" t="n"/>
      <c r="H39" s="27">
        <f>SUMIFS('Time Entries'!$J:$J,'Time Entries'!$B:$B,$B39,'Time Entries'!$F:$F,"&gt;="&amp;$D39,'Time Entries'!$F:$F,"&lt;="&amp;$E39,'Time Entries'!$P:$P,"&lt;&gt;Draft",'Time Entries'!$P:$P,"&lt;&gt;Rejected")</f>
        <v/>
      </c>
      <c r="I39" s="28">
        <f>SUMIFS('Time Entries'!$L:$L,'Time Entries'!$B:$B,$B39,'Time Entries'!$F:$F,"&gt;="&amp;$D39,'Time Entries'!$F:$F,"&lt;="&amp;$E39,'Time Entries'!$P:$P,"&lt;&gt;Draft",'Time Entries'!$P:$P,"&lt;&gt;Rejected")</f>
        <v/>
      </c>
      <c r="J39" s="28">
        <f>SUMIFS('Time Entries'!$M:$M,'Time Entries'!$B:$B,$B39,'Time Entries'!$F:$F,"&gt;="&amp;$D39,'Time Entries'!$F:$F,"&lt;="&amp;$E39,'Time Entries'!$P:$P,"&lt;&gt;Draft",'Time Entries'!$P:$P,"&lt;&gt;Rejected")</f>
        <v/>
      </c>
      <c r="K39" s="28">
        <f>SUMIFS('Time Entries'!$N:$N,'Time Entries'!$B:$B,$B39,'Time Entries'!$F:$F,"&gt;="&amp;$D39,'Time Entries'!$F:$F,"&lt;="&amp;$E39,'Time Entries'!$P:$P,"&lt;&gt;Draft",'Time Entries'!$P:$P,"&lt;&gt;Rejected")</f>
        <v/>
      </c>
      <c r="L39" s="28">
        <f>I39+J39-K39</f>
        <v/>
      </c>
      <c r="M39" s="29" t="n"/>
      <c r="N39" s="29" t="n"/>
    </row>
    <row r="40">
      <c r="C40">
        <f>IFERROR(VLOOKUP(B40,Workers!$A:$H,2,FALSE),"")</f>
        <v/>
      </c>
      <c r="D40" s="25" t="n"/>
      <c r="E40" s="25" t="n"/>
      <c r="H40" s="27">
        <f>SUMIFS('Time Entries'!$J:$J,'Time Entries'!$B:$B,$B40,'Time Entries'!$F:$F,"&gt;="&amp;$D40,'Time Entries'!$F:$F,"&lt;="&amp;$E40,'Time Entries'!$P:$P,"&lt;&gt;Draft",'Time Entries'!$P:$P,"&lt;&gt;Rejected")</f>
        <v/>
      </c>
      <c r="I40" s="28">
        <f>SUMIFS('Time Entries'!$L:$L,'Time Entries'!$B:$B,$B40,'Time Entries'!$F:$F,"&gt;="&amp;$D40,'Time Entries'!$F:$F,"&lt;="&amp;$E40,'Time Entries'!$P:$P,"&lt;&gt;Draft",'Time Entries'!$P:$P,"&lt;&gt;Rejected")</f>
        <v/>
      </c>
      <c r="J40" s="28">
        <f>SUMIFS('Time Entries'!$M:$M,'Time Entries'!$B:$B,$B40,'Time Entries'!$F:$F,"&gt;="&amp;$D40,'Time Entries'!$F:$F,"&lt;="&amp;$E40,'Time Entries'!$P:$P,"&lt;&gt;Draft",'Time Entries'!$P:$P,"&lt;&gt;Rejected")</f>
        <v/>
      </c>
      <c r="K40" s="28">
        <f>SUMIFS('Time Entries'!$N:$N,'Time Entries'!$B:$B,$B40,'Time Entries'!$F:$F,"&gt;="&amp;$D40,'Time Entries'!$F:$F,"&lt;="&amp;$E40,'Time Entries'!$P:$P,"&lt;&gt;Draft",'Time Entries'!$P:$P,"&lt;&gt;Rejected")</f>
        <v/>
      </c>
      <c r="L40" s="28">
        <f>I40+J40-K40</f>
        <v/>
      </c>
      <c r="M40" s="29" t="n"/>
      <c r="N40" s="29" t="n"/>
    </row>
    <row r="41">
      <c r="C41">
        <f>IFERROR(VLOOKUP(B41,Workers!$A:$H,2,FALSE),"")</f>
        <v/>
      </c>
      <c r="D41" s="25" t="n"/>
      <c r="E41" s="25" t="n"/>
      <c r="H41" s="27">
        <f>SUMIFS('Time Entries'!$J:$J,'Time Entries'!$B:$B,$B41,'Time Entries'!$F:$F,"&gt;="&amp;$D41,'Time Entries'!$F:$F,"&lt;="&amp;$E41,'Time Entries'!$P:$P,"&lt;&gt;Draft",'Time Entries'!$P:$P,"&lt;&gt;Rejected")</f>
        <v/>
      </c>
      <c r="I41" s="28">
        <f>SUMIFS('Time Entries'!$L:$L,'Time Entries'!$B:$B,$B41,'Time Entries'!$F:$F,"&gt;="&amp;$D41,'Time Entries'!$F:$F,"&lt;="&amp;$E41,'Time Entries'!$P:$P,"&lt;&gt;Draft",'Time Entries'!$P:$P,"&lt;&gt;Rejected")</f>
        <v/>
      </c>
      <c r="J41" s="28">
        <f>SUMIFS('Time Entries'!$M:$M,'Time Entries'!$B:$B,$B41,'Time Entries'!$F:$F,"&gt;="&amp;$D41,'Time Entries'!$F:$F,"&lt;="&amp;$E41,'Time Entries'!$P:$P,"&lt;&gt;Draft",'Time Entries'!$P:$P,"&lt;&gt;Rejected")</f>
        <v/>
      </c>
      <c r="K41" s="28">
        <f>SUMIFS('Time Entries'!$N:$N,'Time Entries'!$B:$B,$B41,'Time Entries'!$F:$F,"&gt;="&amp;$D41,'Time Entries'!$F:$F,"&lt;="&amp;$E41,'Time Entries'!$P:$P,"&lt;&gt;Draft",'Time Entries'!$P:$P,"&lt;&gt;Rejected")</f>
        <v/>
      </c>
      <c r="L41" s="28">
        <f>I41+J41-K41</f>
        <v/>
      </c>
      <c r="M41" s="29" t="n"/>
      <c r="N41" s="29" t="n"/>
    </row>
    <row r="42">
      <c r="C42">
        <f>IFERROR(VLOOKUP(B42,Workers!$A:$H,2,FALSE),"")</f>
        <v/>
      </c>
      <c r="D42" s="25" t="n"/>
      <c r="E42" s="25" t="n"/>
      <c r="H42" s="27">
        <f>SUMIFS('Time Entries'!$J:$J,'Time Entries'!$B:$B,$B42,'Time Entries'!$F:$F,"&gt;="&amp;$D42,'Time Entries'!$F:$F,"&lt;="&amp;$E42,'Time Entries'!$P:$P,"&lt;&gt;Draft",'Time Entries'!$P:$P,"&lt;&gt;Rejected")</f>
        <v/>
      </c>
      <c r="I42" s="28">
        <f>SUMIFS('Time Entries'!$L:$L,'Time Entries'!$B:$B,$B42,'Time Entries'!$F:$F,"&gt;="&amp;$D42,'Time Entries'!$F:$F,"&lt;="&amp;$E42,'Time Entries'!$P:$P,"&lt;&gt;Draft",'Time Entries'!$P:$P,"&lt;&gt;Rejected")</f>
        <v/>
      </c>
      <c r="J42" s="28">
        <f>SUMIFS('Time Entries'!$M:$M,'Time Entries'!$B:$B,$B42,'Time Entries'!$F:$F,"&gt;="&amp;$D42,'Time Entries'!$F:$F,"&lt;="&amp;$E42,'Time Entries'!$P:$P,"&lt;&gt;Draft",'Time Entries'!$P:$P,"&lt;&gt;Rejected")</f>
        <v/>
      </c>
      <c r="K42" s="28">
        <f>SUMIFS('Time Entries'!$N:$N,'Time Entries'!$B:$B,$B42,'Time Entries'!$F:$F,"&gt;="&amp;$D42,'Time Entries'!$F:$F,"&lt;="&amp;$E42,'Time Entries'!$P:$P,"&lt;&gt;Draft",'Time Entries'!$P:$P,"&lt;&gt;Rejected")</f>
        <v/>
      </c>
      <c r="L42" s="28">
        <f>I42+J42-K42</f>
        <v/>
      </c>
      <c r="M42" s="29" t="n"/>
      <c r="N42" s="29" t="n"/>
    </row>
    <row r="43">
      <c r="C43">
        <f>IFERROR(VLOOKUP(B43,Workers!$A:$H,2,FALSE),"")</f>
        <v/>
      </c>
      <c r="D43" s="25" t="n"/>
      <c r="E43" s="25" t="n"/>
      <c r="H43" s="27">
        <f>SUMIFS('Time Entries'!$J:$J,'Time Entries'!$B:$B,$B43,'Time Entries'!$F:$F,"&gt;="&amp;$D43,'Time Entries'!$F:$F,"&lt;="&amp;$E43,'Time Entries'!$P:$P,"&lt;&gt;Draft",'Time Entries'!$P:$P,"&lt;&gt;Rejected")</f>
        <v/>
      </c>
      <c r="I43" s="28">
        <f>SUMIFS('Time Entries'!$L:$L,'Time Entries'!$B:$B,$B43,'Time Entries'!$F:$F,"&gt;="&amp;$D43,'Time Entries'!$F:$F,"&lt;="&amp;$E43,'Time Entries'!$P:$P,"&lt;&gt;Draft",'Time Entries'!$P:$P,"&lt;&gt;Rejected")</f>
        <v/>
      </c>
      <c r="J43" s="28">
        <f>SUMIFS('Time Entries'!$M:$M,'Time Entries'!$B:$B,$B43,'Time Entries'!$F:$F,"&gt;="&amp;$D43,'Time Entries'!$F:$F,"&lt;="&amp;$E43,'Time Entries'!$P:$P,"&lt;&gt;Draft",'Time Entries'!$P:$P,"&lt;&gt;Rejected")</f>
        <v/>
      </c>
      <c r="K43" s="28">
        <f>SUMIFS('Time Entries'!$N:$N,'Time Entries'!$B:$B,$B43,'Time Entries'!$F:$F,"&gt;="&amp;$D43,'Time Entries'!$F:$F,"&lt;="&amp;$E43,'Time Entries'!$P:$P,"&lt;&gt;Draft",'Time Entries'!$P:$P,"&lt;&gt;Rejected")</f>
        <v/>
      </c>
      <c r="L43" s="28">
        <f>I43+J43-K43</f>
        <v/>
      </c>
      <c r="M43" s="29" t="n"/>
      <c r="N43" s="29" t="n"/>
    </row>
    <row r="44">
      <c r="C44">
        <f>IFERROR(VLOOKUP(B44,Workers!$A:$H,2,FALSE),"")</f>
        <v/>
      </c>
      <c r="D44" s="25" t="n"/>
      <c r="E44" s="25" t="n"/>
      <c r="H44" s="27">
        <f>SUMIFS('Time Entries'!$J:$J,'Time Entries'!$B:$B,$B44,'Time Entries'!$F:$F,"&gt;="&amp;$D44,'Time Entries'!$F:$F,"&lt;="&amp;$E44,'Time Entries'!$P:$P,"&lt;&gt;Draft",'Time Entries'!$P:$P,"&lt;&gt;Rejected")</f>
        <v/>
      </c>
      <c r="I44" s="28">
        <f>SUMIFS('Time Entries'!$L:$L,'Time Entries'!$B:$B,$B44,'Time Entries'!$F:$F,"&gt;="&amp;$D44,'Time Entries'!$F:$F,"&lt;="&amp;$E44,'Time Entries'!$P:$P,"&lt;&gt;Draft",'Time Entries'!$P:$P,"&lt;&gt;Rejected")</f>
        <v/>
      </c>
      <c r="J44" s="28">
        <f>SUMIFS('Time Entries'!$M:$M,'Time Entries'!$B:$B,$B44,'Time Entries'!$F:$F,"&gt;="&amp;$D44,'Time Entries'!$F:$F,"&lt;="&amp;$E44,'Time Entries'!$P:$P,"&lt;&gt;Draft",'Time Entries'!$P:$P,"&lt;&gt;Rejected")</f>
        <v/>
      </c>
      <c r="K44" s="28">
        <f>SUMIFS('Time Entries'!$N:$N,'Time Entries'!$B:$B,$B44,'Time Entries'!$F:$F,"&gt;="&amp;$D44,'Time Entries'!$F:$F,"&lt;="&amp;$E44,'Time Entries'!$P:$P,"&lt;&gt;Draft",'Time Entries'!$P:$P,"&lt;&gt;Rejected")</f>
        <v/>
      </c>
      <c r="L44" s="28">
        <f>I44+J44-K44</f>
        <v/>
      </c>
      <c r="M44" s="29" t="n"/>
      <c r="N44" s="29" t="n"/>
    </row>
    <row r="45">
      <c r="C45">
        <f>IFERROR(VLOOKUP(B45,Workers!$A:$H,2,FALSE),"")</f>
        <v/>
      </c>
      <c r="D45" s="25" t="n"/>
      <c r="E45" s="25" t="n"/>
      <c r="H45" s="27">
        <f>SUMIFS('Time Entries'!$J:$J,'Time Entries'!$B:$B,$B45,'Time Entries'!$F:$F,"&gt;="&amp;$D45,'Time Entries'!$F:$F,"&lt;="&amp;$E45,'Time Entries'!$P:$P,"&lt;&gt;Draft",'Time Entries'!$P:$P,"&lt;&gt;Rejected")</f>
        <v/>
      </c>
      <c r="I45" s="28">
        <f>SUMIFS('Time Entries'!$L:$L,'Time Entries'!$B:$B,$B45,'Time Entries'!$F:$F,"&gt;="&amp;$D45,'Time Entries'!$F:$F,"&lt;="&amp;$E45,'Time Entries'!$P:$P,"&lt;&gt;Draft",'Time Entries'!$P:$P,"&lt;&gt;Rejected")</f>
        <v/>
      </c>
      <c r="J45" s="28">
        <f>SUMIFS('Time Entries'!$M:$M,'Time Entries'!$B:$B,$B45,'Time Entries'!$F:$F,"&gt;="&amp;$D45,'Time Entries'!$F:$F,"&lt;="&amp;$E45,'Time Entries'!$P:$P,"&lt;&gt;Draft",'Time Entries'!$P:$P,"&lt;&gt;Rejected")</f>
        <v/>
      </c>
      <c r="K45" s="28">
        <f>SUMIFS('Time Entries'!$N:$N,'Time Entries'!$B:$B,$B45,'Time Entries'!$F:$F,"&gt;="&amp;$D45,'Time Entries'!$F:$F,"&lt;="&amp;$E45,'Time Entries'!$P:$P,"&lt;&gt;Draft",'Time Entries'!$P:$P,"&lt;&gt;Rejected")</f>
        <v/>
      </c>
      <c r="L45" s="28">
        <f>I45+J45-K45</f>
        <v/>
      </c>
      <c r="M45" s="29" t="n"/>
      <c r="N45" s="29" t="n"/>
    </row>
    <row r="46">
      <c r="C46">
        <f>IFERROR(VLOOKUP(B46,Workers!$A:$H,2,FALSE),"")</f>
        <v/>
      </c>
      <c r="D46" s="25" t="n"/>
      <c r="E46" s="25" t="n"/>
      <c r="H46" s="27">
        <f>SUMIFS('Time Entries'!$J:$J,'Time Entries'!$B:$B,$B46,'Time Entries'!$F:$F,"&gt;="&amp;$D46,'Time Entries'!$F:$F,"&lt;="&amp;$E46,'Time Entries'!$P:$P,"&lt;&gt;Draft",'Time Entries'!$P:$P,"&lt;&gt;Rejected")</f>
        <v/>
      </c>
      <c r="I46" s="28">
        <f>SUMIFS('Time Entries'!$L:$L,'Time Entries'!$B:$B,$B46,'Time Entries'!$F:$F,"&gt;="&amp;$D46,'Time Entries'!$F:$F,"&lt;="&amp;$E46,'Time Entries'!$P:$P,"&lt;&gt;Draft",'Time Entries'!$P:$P,"&lt;&gt;Rejected")</f>
        <v/>
      </c>
      <c r="J46" s="28">
        <f>SUMIFS('Time Entries'!$M:$M,'Time Entries'!$B:$B,$B46,'Time Entries'!$F:$F,"&gt;="&amp;$D46,'Time Entries'!$F:$F,"&lt;="&amp;$E46,'Time Entries'!$P:$P,"&lt;&gt;Draft",'Time Entries'!$P:$P,"&lt;&gt;Rejected")</f>
        <v/>
      </c>
      <c r="K46" s="28">
        <f>SUMIFS('Time Entries'!$N:$N,'Time Entries'!$B:$B,$B46,'Time Entries'!$F:$F,"&gt;="&amp;$D46,'Time Entries'!$F:$F,"&lt;="&amp;$E46,'Time Entries'!$P:$P,"&lt;&gt;Draft",'Time Entries'!$P:$P,"&lt;&gt;Rejected")</f>
        <v/>
      </c>
      <c r="L46" s="28">
        <f>I46+J46-K46</f>
        <v/>
      </c>
      <c r="M46" s="29" t="n"/>
      <c r="N46" s="29" t="n"/>
    </row>
    <row r="47">
      <c r="C47">
        <f>IFERROR(VLOOKUP(B47,Workers!$A:$H,2,FALSE),"")</f>
        <v/>
      </c>
      <c r="D47" s="25" t="n"/>
      <c r="E47" s="25" t="n"/>
      <c r="H47" s="27">
        <f>SUMIFS('Time Entries'!$J:$J,'Time Entries'!$B:$B,$B47,'Time Entries'!$F:$F,"&gt;="&amp;$D47,'Time Entries'!$F:$F,"&lt;="&amp;$E47,'Time Entries'!$P:$P,"&lt;&gt;Draft",'Time Entries'!$P:$P,"&lt;&gt;Rejected")</f>
        <v/>
      </c>
      <c r="I47" s="28">
        <f>SUMIFS('Time Entries'!$L:$L,'Time Entries'!$B:$B,$B47,'Time Entries'!$F:$F,"&gt;="&amp;$D47,'Time Entries'!$F:$F,"&lt;="&amp;$E47,'Time Entries'!$P:$P,"&lt;&gt;Draft",'Time Entries'!$P:$P,"&lt;&gt;Rejected")</f>
        <v/>
      </c>
      <c r="J47" s="28">
        <f>SUMIFS('Time Entries'!$M:$M,'Time Entries'!$B:$B,$B47,'Time Entries'!$F:$F,"&gt;="&amp;$D47,'Time Entries'!$F:$F,"&lt;="&amp;$E47,'Time Entries'!$P:$P,"&lt;&gt;Draft",'Time Entries'!$P:$P,"&lt;&gt;Rejected")</f>
        <v/>
      </c>
      <c r="K47" s="28">
        <f>SUMIFS('Time Entries'!$N:$N,'Time Entries'!$B:$B,$B47,'Time Entries'!$F:$F,"&gt;="&amp;$D47,'Time Entries'!$F:$F,"&lt;="&amp;$E47,'Time Entries'!$P:$P,"&lt;&gt;Draft",'Time Entries'!$P:$P,"&lt;&gt;Rejected")</f>
        <v/>
      </c>
      <c r="L47" s="28">
        <f>I47+J47-K47</f>
        <v/>
      </c>
      <c r="M47" s="29" t="n"/>
      <c r="N47" s="29" t="n"/>
    </row>
    <row r="48">
      <c r="C48">
        <f>IFERROR(VLOOKUP(B48,Workers!$A:$H,2,FALSE),"")</f>
        <v/>
      </c>
      <c r="D48" s="25" t="n"/>
      <c r="E48" s="25" t="n"/>
      <c r="H48" s="27">
        <f>SUMIFS('Time Entries'!$J:$J,'Time Entries'!$B:$B,$B48,'Time Entries'!$F:$F,"&gt;="&amp;$D48,'Time Entries'!$F:$F,"&lt;="&amp;$E48,'Time Entries'!$P:$P,"&lt;&gt;Draft",'Time Entries'!$P:$P,"&lt;&gt;Rejected")</f>
        <v/>
      </c>
      <c r="I48" s="28">
        <f>SUMIFS('Time Entries'!$L:$L,'Time Entries'!$B:$B,$B48,'Time Entries'!$F:$F,"&gt;="&amp;$D48,'Time Entries'!$F:$F,"&lt;="&amp;$E48,'Time Entries'!$P:$P,"&lt;&gt;Draft",'Time Entries'!$P:$P,"&lt;&gt;Rejected")</f>
        <v/>
      </c>
      <c r="J48" s="28">
        <f>SUMIFS('Time Entries'!$M:$M,'Time Entries'!$B:$B,$B48,'Time Entries'!$F:$F,"&gt;="&amp;$D48,'Time Entries'!$F:$F,"&lt;="&amp;$E48,'Time Entries'!$P:$P,"&lt;&gt;Draft",'Time Entries'!$P:$P,"&lt;&gt;Rejected")</f>
        <v/>
      </c>
      <c r="K48" s="28">
        <f>SUMIFS('Time Entries'!$N:$N,'Time Entries'!$B:$B,$B48,'Time Entries'!$F:$F,"&gt;="&amp;$D48,'Time Entries'!$F:$F,"&lt;="&amp;$E48,'Time Entries'!$P:$P,"&lt;&gt;Draft",'Time Entries'!$P:$P,"&lt;&gt;Rejected")</f>
        <v/>
      </c>
      <c r="L48" s="28">
        <f>I48+J48-K48</f>
        <v/>
      </c>
      <c r="M48" s="29" t="n"/>
      <c r="N48" s="29" t="n"/>
    </row>
    <row r="49">
      <c r="C49">
        <f>IFERROR(VLOOKUP(B49,Workers!$A:$H,2,FALSE),"")</f>
        <v/>
      </c>
      <c r="D49" s="25" t="n"/>
      <c r="E49" s="25" t="n"/>
      <c r="H49" s="27">
        <f>SUMIFS('Time Entries'!$J:$J,'Time Entries'!$B:$B,$B49,'Time Entries'!$F:$F,"&gt;="&amp;$D49,'Time Entries'!$F:$F,"&lt;="&amp;$E49,'Time Entries'!$P:$P,"&lt;&gt;Draft",'Time Entries'!$P:$P,"&lt;&gt;Rejected")</f>
        <v/>
      </c>
      <c r="I49" s="28">
        <f>SUMIFS('Time Entries'!$L:$L,'Time Entries'!$B:$B,$B49,'Time Entries'!$F:$F,"&gt;="&amp;$D49,'Time Entries'!$F:$F,"&lt;="&amp;$E49,'Time Entries'!$P:$P,"&lt;&gt;Draft",'Time Entries'!$P:$P,"&lt;&gt;Rejected")</f>
        <v/>
      </c>
      <c r="J49" s="28">
        <f>SUMIFS('Time Entries'!$M:$M,'Time Entries'!$B:$B,$B49,'Time Entries'!$F:$F,"&gt;="&amp;$D49,'Time Entries'!$F:$F,"&lt;="&amp;$E49,'Time Entries'!$P:$P,"&lt;&gt;Draft",'Time Entries'!$P:$P,"&lt;&gt;Rejected")</f>
        <v/>
      </c>
      <c r="K49" s="28">
        <f>SUMIFS('Time Entries'!$N:$N,'Time Entries'!$B:$B,$B49,'Time Entries'!$F:$F,"&gt;="&amp;$D49,'Time Entries'!$F:$F,"&lt;="&amp;$E49,'Time Entries'!$P:$P,"&lt;&gt;Draft",'Time Entries'!$P:$P,"&lt;&gt;Rejected")</f>
        <v/>
      </c>
      <c r="L49" s="28">
        <f>I49+J49-K49</f>
        <v/>
      </c>
      <c r="M49" s="29" t="n"/>
      <c r="N49" s="29" t="n"/>
    </row>
    <row r="50">
      <c r="C50">
        <f>IFERROR(VLOOKUP(B50,Workers!$A:$H,2,FALSE),"")</f>
        <v/>
      </c>
      <c r="D50" s="25" t="n"/>
      <c r="E50" s="25" t="n"/>
      <c r="H50" s="27">
        <f>SUMIFS('Time Entries'!$J:$J,'Time Entries'!$B:$B,$B50,'Time Entries'!$F:$F,"&gt;="&amp;$D50,'Time Entries'!$F:$F,"&lt;="&amp;$E50,'Time Entries'!$P:$P,"&lt;&gt;Draft",'Time Entries'!$P:$P,"&lt;&gt;Rejected")</f>
        <v/>
      </c>
      <c r="I50" s="28">
        <f>SUMIFS('Time Entries'!$L:$L,'Time Entries'!$B:$B,$B50,'Time Entries'!$F:$F,"&gt;="&amp;$D50,'Time Entries'!$F:$F,"&lt;="&amp;$E50,'Time Entries'!$P:$P,"&lt;&gt;Draft",'Time Entries'!$P:$P,"&lt;&gt;Rejected")</f>
        <v/>
      </c>
      <c r="J50" s="28">
        <f>SUMIFS('Time Entries'!$M:$M,'Time Entries'!$B:$B,$B50,'Time Entries'!$F:$F,"&gt;="&amp;$D50,'Time Entries'!$F:$F,"&lt;="&amp;$E50,'Time Entries'!$P:$P,"&lt;&gt;Draft",'Time Entries'!$P:$P,"&lt;&gt;Rejected")</f>
        <v/>
      </c>
      <c r="K50" s="28">
        <f>SUMIFS('Time Entries'!$N:$N,'Time Entries'!$B:$B,$B50,'Time Entries'!$F:$F,"&gt;="&amp;$D50,'Time Entries'!$F:$F,"&lt;="&amp;$E50,'Time Entries'!$P:$P,"&lt;&gt;Draft",'Time Entries'!$P:$P,"&lt;&gt;Rejected")</f>
        <v/>
      </c>
      <c r="L50" s="28">
        <f>I50+J50-K50</f>
        <v/>
      </c>
      <c r="M50" s="29" t="n"/>
      <c r="N50" s="29" t="n"/>
    </row>
    <row r="51">
      <c r="C51">
        <f>IFERROR(VLOOKUP(B51,Workers!$A:$H,2,FALSE),"")</f>
        <v/>
      </c>
      <c r="D51" s="25" t="n"/>
      <c r="E51" s="25" t="n"/>
      <c r="H51" s="27">
        <f>SUMIFS('Time Entries'!$J:$J,'Time Entries'!$B:$B,$B51,'Time Entries'!$F:$F,"&gt;="&amp;$D51,'Time Entries'!$F:$F,"&lt;="&amp;$E51,'Time Entries'!$P:$P,"&lt;&gt;Draft",'Time Entries'!$P:$P,"&lt;&gt;Rejected")</f>
        <v/>
      </c>
      <c r="I51" s="28">
        <f>SUMIFS('Time Entries'!$L:$L,'Time Entries'!$B:$B,$B51,'Time Entries'!$F:$F,"&gt;="&amp;$D51,'Time Entries'!$F:$F,"&lt;="&amp;$E51,'Time Entries'!$P:$P,"&lt;&gt;Draft",'Time Entries'!$P:$P,"&lt;&gt;Rejected")</f>
        <v/>
      </c>
      <c r="J51" s="28">
        <f>SUMIFS('Time Entries'!$M:$M,'Time Entries'!$B:$B,$B51,'Time Entries'!$F:$F,"&gt;="&amp;$D51,'Time Entries'!$F:$F,"&lt;="&amp;$E51,'Time Entries'!$P:$P,"&lt;&gt;Draft",'Time Entries'!$P:$P,"&lt;&gt;Rejected")</f>
        <v/>
      </c>
      <c r="K51" s="28">
        <f>SUMIFS('Time Entries'!$N:$N,'Time Entries'!$B:$B,$B51,'Time Entries'!$F:$F,"&gt;="&amp;$D51,'Time Entries'!$F:$F,"&lt;="&amp;$E51,'Time Entries'!$P:$P,"&lt;&gt;Draft",'Time Entries'!$P:$P,"&lt;&gt;Rejected")</f>
        <v/>
      </c>
      <c r="L51" s="28">
        <f>I51+J51-K51</f>
        <v/>
      </c>
      <c r="M51" s="29" t="n"/>
      <c r="N51" s="29" t="n"/>
    </row>
    <row r="52">
      <c r="C52">
        <f>IFERROR(VLOOKUP(B52,Workers!$A:$H,2,FALSE),"")</f>
        <v/>
      </c>
      <c r="D52" s="25" t="n"/>
      <c r="E52" s="25" t="n"/>
      <c r="H52" s="27">
        <f>SUMIFS('Time Entries'!$J:$J,'Time Entries'!$B:$B,$B52,'Time Entries'!$F:$F,"&gt;="&amp;$D52,'Time Entries'!$F:$F,"&lt;="&amp;$E52,'Time Entries'!$P:$P,"&lt;&gt;Draft",'Time Entries'!$P:$P,"&lt;&gt;Rejected")</f>
        <v/>
      </c>
      <c r="I52" s="28">
        <f>SUMIFS('Time Entries'!$L:$L,'Time Entries'!$B:$B,$B52,'Time Entries'!$F:$F,"&gt;="&amp;$D52,'Time Entries'!$F:$F,"&lt;="&amp;$E52,'Time Entries'!$P:$P,"&lt;&gt;Draft",'Time Entries'!$P:$P,"&lt;&gt;Rejected")</f>
        <v/>
      </c>
      <c r="J52" s="28">
        <f>SUMIFS('Time Entries'!$M:$M,'Time Entries'!$B:$B,$B52,'Time Entries'!$F:$F,"&gt;="&amp;$D52,'Time Entries'!$F:$F,"&lt;="&amp;$E52,'Time Entries'!$P:$P,"&lt;&gt;Draft",'Time Entries'!$P:$P,"&lt;&gt;Rejected")</f>
        <v/>
      </c>
      <c r="K52" s="28">
        <f>SUMIFS('Time Entries'!$N:$N,'Time Entries'!$B:$B,$B52,'Time Entries'!$F:$F,"&gt;="&amp;$D52,'Time Entries'!$F:$F,"&lt;="&amp;$E52,'Time Entries'!$P:$P,"&lt;&gt;Draft",'Time Entries'!$P:$P,"&lt;&gt;Rejected")</f>
        <v/>
      </c>
      <c r="L52" s="28">
        <f>I52+J52-K52</f>
        <v/>
      </c>
      <c r="M52" s="29" t="n"/>
      <c r="N52" s="29" t="n"/>
    </row>
    <row r="53">
      <c r="C53">
        <f>IFERROR(VLOOKUP(B53,Workers!$A:$H,2,FALSE),"")</f>
        <v/>
      </c>
      <c r="D53" s="25" t="n"/>
      <c r="E53" s="25" t="n"/>
      <c r="H53" s="27">
        <f>SUMIFS('Time Entries'!$J:$J,'Time Entries'!$B:$B,$B53,'Time Entries'!$F:$F,"&gt;="&amp;$D53,'Time Entries'!$F:$F,"&lt;="&amp;$E53,'Time Entries'!$P:$P,"&lt;&gt;Draft",'Time Entries'!$P:$P,"&lt;&gt;Rejected")</f>
        <v/>
      </c>
      <c r="I53" s="28">
        <f>SUMIFS('Time Entries'!$L:$L,'Time Entries'!$B:$B,$B53,'Time Entries'!$F:$F,"&gt;="&amp;$D53,'Time Entries'!$F:$F,"&lt;="&amp;$E53,'Time Entries'!$P:$P,"&lt;&gt;Draft",'Time Entries'!$P:$P,"&lt;&gt;Rejected")</f>
        <v/>
      </c>
      <c r="J53" s="28">
        <f>SUMIFS('Time Entries'!$M:$M,'Time Entries'!$B:$B,$B53,'Time Entries'!$F:$F,"&gt;="&amp;$D53,'Time Entries'!$F:$F,"&lt;="&amp;$E53,'Time Entries'!$P:$P,"&lt;&gt;Draft",'Time Entries'!$P:$P,"&lt;&gt;Rejected")</f>
        <v/>
      </c>
      <c r="K53" s="28">
        <f>SUMIFS('Time Entries'!$N:$N,'Time Entries'!$B:$B,$B53,'Time Entries'!$F:$F,"&gt;="&amp;$D53,'Time Entries'!$F:$F,"&lt;="&amp;$E53,'Time Entries'!$P:$P,"&lt;&gt;Draft",'Time Entries'!$P:$P,"&lt;&gt;Rejected")</f>
        <v/>
      </c>
      <c r="L53" s="28">
        <f>I53+J53-K53</f>
        <v/>
      </c>
      <c r="M53" s="29" t="n"/>
      <c r="N53" s="29" t="n"/>
    </row>
    <row r="54">
      <c r="C54">
        <f>IFERROR(VLOOKUP(B54,Workers!$A:$H,2,FALSE),"")</f>
        <v/>
      </c>
      <c r="D54" s="25" t="n"/>
      <c r="E54" s="25" t="n"/>
      <c r="H54" s="27">
        <f>SUMIFS('Time Entries'!$J:$J,'Time Entries'!$B:$B,$B54,'Time Entries'!$F:$F,"&gt;="&amp;$D54,'Time Entries'!$F:$F,"&lt;="&amp;$E54,'Time Entries'!$P:$P,"&lt;&gt;Draft",'Time Entries'!$P:$P,"&lt;&gt;Rejected")</f>
        <v/>
      </c>
      <c r="I54" s="28">
        <f>SUMIFS('Time Entries'!$L:$L,'Time Entries'!$B:$B,$B54,'Time Entries'!$F:$F,"&gt;="&amp;$D54,'Time Entries'!$F:$F,"&lt;="&amp;$E54,'Time Entries'!$P:$P,"&lt;&gt;Draft",'Time Entries'!$P:$P,"&lt;&gt;Rejected")</f>
        <v/>
      </c>
      <c r="J54" s="28">
        <f>SUMIFS('Time Entries'!$M:$M,'Time Entries'!$B:$B,$B54,'Time Entries'!$F:$F,"&gt;="&amp;$D54,'Time Entries'!$F:$F,"&lt;="&amp;$E54,'Time Entries'!$P:$P,"&lt;&gt;Draft",'Time Entries'!$P:$P,"&lt;&gt;Rejected")</f>
        <v/>
      </c>
      <c r="K54" s="28">
        <f>SUMIFS('Time Entries'!$N:$N,'Time Entries'!$B:$B,$B54,'Time Entries'!$F:$F,"&gt;="&amp;$D54,'Time Entries'!$F:$F,"&lt;="&amp;$E54,'Time Entries'!$P:$P,"&lt;&gt;Draft",'Time Entries'!$P:$P,"&lt;&gt;Rejected")</f>
        <v/>
      </c>
      <c r="L54" s="28">
        <f>I54+J54-K54</f>
        <v/>
      </c>
      <c r="M54" s="29" t="n"/>
      <c r="N54" s="29" t="n"/>
    </row>
    <row r="55">
      <c r="C55">
        <f>IFERROR(VLOOKUP(B55,Workers!$A:$H,2,FALSE),"")</f>
        <v/>
      </c>
      <c r="D55" s="25" t="n"/>
      <c r="E55" s="25" t="n"/>
      <c r="H55" s="27">
        <f>SUMIFS('Time Entries'!$J:$J,'Time Entries'!$B:$B,$B55,'Time Entries'!$F:$F,"&gt;="&amp;$D55,'Time Entries'!$F:$F,"&lt;="&amp;$E55,'Time Entries'!$P:$P,"&lt;&gt;Draft",'Time Entries'!$P:$P,"&lt;&gt;Rejected")</f>
        <v/>
      </c>
      <c r="I55" s="28">
        <f>SUMIFS('Time Entries'!$L:$L,'Time Entries'!$B:$B,$B55,'Time Entries'!$F:$F,"&gt;="&amp;$D55,'Time Entries'!$F:$F,"&lt;="&amp;$E55,'Time Entries'!$P:$P,"&lt;&gt;Draft",'Time Entries'!$P:$P,"&lt;&gt;Rejected")</f>
        <v/>
      </c>
      <c r="J55" s="28">
        <f>SUMIFS('Time Entries'!$M:$M,'Time Entries'!$B:$B,$B55,'Time Entries'!$F:$F,"&gt;="&amp;$D55,'Time Entries'!$F:$F,"&lt;="&amp;$E55,'Time Entries'!$P:$P,"&lt;&gt;Draft",'Time Entries'!$P:$P,"&lt;&gt;Rejected")</f>
        <v/>
      </c>
      <c r="K55" s="28">
        <f>SUMIFS('Time Entries'!$N:$N,'Time Entries'!$B:$B,$B55,'Time Entries'!$F:$F,"&gt;="&amp;$D55,'Time Entries'!$F:$F,"&lt;="&amp;$E55,'Time Entries'!$P:$P,"&lt;&gt;Draft",'Time Entries'!$P:$P,"&lt;&gt;Rejected")</f>
        <v/>
      </c>
      <c r="L55" s="28">
        <f>I55+J55-K55</f>
        <v/>
      </c>
      <c r="M55" s="29" t="n"/>
      <c r="N55" s="29" t="n"/>
    </row>
    <row r="56">
      <c r="C56">
        <f>IFERROR(VLOOKUP(B56,Workers!$A:$H,2,FALSE),"")</f>
        <v/>
      </c>
      <c r="D56" s="25" t="n"/>
      <c r="E56" s="25" t="n"/>
      <c r="H56" s="27">
        <f>SUMIFS('Time Entries'!$J:$J,'Time Entries'!$B:$B,$B56,'Time Entries'!$F:$F,"&gt;="&amp;$D56,'Time Entries'!$F:$F,"&lt;="&amp;$E56,'Time Entries'!$P:$P,"&lt;&gt;Draft",'Time Entries'!$P:$P,"&lt;&gt;Rejected")</f>
        <v/>
      </c>
      <c r="I56" s="28">
        <f>SUMIFS('Time Entries'!$L:$L,'Time Entries'!$B:$B,$B56,'Time Entries'!$F:$F,"&gt;="&amp;$D56,'Time Entries'!$F:$F,"&lt;="&amp;$E56,'Time Entries'!$P:$P,"&lt;&gt;Draft",'Time Entries'!$P:$P,"&lt;&gt;Rejected")</f>
        <v/>
      </c>
      <c r="J56" s="28">
        <f>SUMIFS('Time Entries'!$M:$M,'Time Entries'!$B:$B,$B56,'Time Entries'!$F:$F,"&gt;="&amp;$D56,'Time Entries'!$F:$F,"&lt;="&amp;$E56,'Time Entries'!$P:$P,"&lt;&gt;Draft",'Time Entries'!$P:$P,"&lt;&gt;Rejected")</f>
        <v/>
      </c>
      <c r="K56" s="28">
        <f>SUMIFS('Time Entries'!$N:$N,'Time Entries'!$B:$B,$B56,'Time Entries'!$F:$F,"&gt;="&amp;$D56,'Time Entries'!$F:$F,"&lt;="&amp;$E56,'Time Entries'!$P:$P,"&lt;&gt;Draft",'Time Entries'!$P:$P,"&lt;&gt;Rejected")</f>
        <v/>
      </c>
      <c r="L56" s="28">
        <f>I56+J56-K56</f>
        <v/>
      </c>
      <c r="M56" s="29" t="n"/>
      <c r="N56" s="29" t="n"/>
    </row>
    <row r="57">
      <c r="C57">
        <f>IFERROR(VLOOKUP(B57,Workers!$A:$H,2,FALSE),"")</f>
        <v/>
      </c>
      <c r="D57" s="25" t="n"/>
      <c r="E57" s="25" t="n"/>
      <c r="H57" s="27">
        <f>SUMIFS('Time Entries'!$J:$J,'Time Entries'!$B:$B,$B57,'Time Entries'!$F:$F,"&gt;="&amp;$D57,'Time Entries'!$F:$F,"&lt;="&amp;$E57,'Time Entries'!$P:$P,"&lt;&gt;Draft",'Time Entries'!$P:$P,"&lt;&gt;Rejected")</f>
        <v/>
      </c>
      <c r="I57" s="28">
        <f>SUMIFS('Time Entries'!$L:$L,'Time Entries'!$B:$B,$B57,'Time Entries'!$F:$F,"&gt;="&amp;$D57,'Time Entries'!$F:$F,"&lt;="&amp;$E57,'Time Entries'!$P:$P,"&lt;&gt;Draft",'Time Entries'!$P:$P,"&lt;&gt;Rejected")</f>
        <v/>
      </c>
      <c r="J57" s="28">
        <f>SUMIFS('Time Entries'!$M:$M,'Time Entries'!$B:$B,$B57,'Time Entries'!$F:$F,"&gt;="&amp;$D57,'Time Entries'!$F:$F,"&lt;="&amp;$E57,'Time Entries'!$P:$P,"&lt;&gt;Draft",'Time Entries'!$P:$P,"&lt;&gt;Rejected")</f>
        <v/>
      </c>
      <c r="K57" s="28">
        <f>SUMIFS('Time Entries'!$N:$N,'Time Entries'!$B:$B,$B57,'Time Entries'!$F:$F,"&gt;="&amp;$D57,'Time Entries'!$F:$F,"&lt;="&amp;$E57,'Time Entries'!$P:$P,"&lt;&gt;Draft",'Time Entries'!$P:$P,"&lt;&gt;Rejected")</f>
        <v/>
      </c>
      <c r="L57" s="28">
        <f>I57+J57-K57</f>
        <v/>
      </c>
      <c r="M57" s="29" t="n"/>
      <c r="N57" s="29" t="n"/>
    </row>
    <row r="58">
      <c r="C58">
        <f>IFERROR(VLOOKUP(B58,Workers!$A:$H,2,FALSE),"")</f>
        <v/>
      </c>
      <c r="D58" s="25" t="n"/>
      <c r="E58" s="25" t="n"/>
      <c r="H58" s="27">
        <f>SUMIFS('Time Entries'!$J:$J,'Time Entries'!$B:$B,$B58,'Time Entries'!$F:$F,"&gt;="&amp;$D58,'Time Entries'!$F:$F,"&lt;="&amp;$E58,'Time Entries'!$P:$P,"&lt;&gt;Draft",'Time Entries'!$P:$P,"&lt;&gt;Rejected")</f>
        <v/>
      </c>
      <c r="I58" s="28">
        <f>SUMIFS('Time Entries'!$L:$L,'Time Entries'!$B:$B,$B58,'Time Entries'!$F:$F,"&gt;="&amp;$D58,'Time Entries'!$F:$F,"&lt;="&amp;$E58,'Time Entries'!$P:$P,"&lt;&gt;Draft",'Time Entries'!$P:$P,"&lt;&gt;Rejected")</f>
        <v/>
      </c>
      <c r="J58" s="28">
        <f>SUMIFS('Time Entries'!$M:$M,'Time Entries'!$B:$B,$B58,'Time Entries'!$F:$F,"&gt;="&amp;$D58,'Time Entries'!$F:$F,"&lt;="&amp;$E58,'Time Entries'!$P:$P,"&lt;&gt;Draft",'Time Entries'!$P:$P,"&lt;&gt;Rejected")</f>
        <v/>
      </c>
      <c r="K58" s="28">
        <f>SUMIFS('Time Entries'!$N:$N,'Time Entries'!$B:$B,$B58,'Time Entries'!$F:$F,"&gt;="&amp;$D58,'Time Entries'!$F:$F,"&lt;="&amp;$E58,'Time Entries'!$P:$P,"&lt;&gt;Draft",'Time Entries'!$P:$P,"&lt;&gt;Rejected")</f>
        <v/>
      </c>
      <c r="L58" s="28">
        <f>I58+J58-K58</f>
        <v/>
      </c>
      <c r="M58" s="29" t="n"/>
      <c r="N58" s="29" t="n"/>
    </row>
    <row r="59">
      <c r="C59">
        <f>IFERROR(VLOOKUP(B59,Workers!$A:$H,2,FALSE),"")</f>
        <v/>
      </c>
      <c r="D59" s="25" t="n"/>
      <c r="E59" s="25" t="n"/>
      <c r="H59" s="27">
        <f>SUMIFS('Time Entries'!$J:$J,'Time Entries'!$B:$B,$B59,'Time Entries'!$F:$F,"&gt;="&amp;$D59,'Time Entries'!$F:$F,"&lt;="&amp;$E59,'Time Entries'!$P:$P,"&lt;&gt;Draft",'Time Entries'!$P:$P,"&lt;&gt;Rejected")</f>
        <v/>
      </c>
      <c r="I59" s="28">
        <f>SUMIFS('Time Entries'!$L:$L,'Time Entries'!$B:$B,$B59,'Time Entries'!$F:$F,"&gt;="&amp;$D59,'Time Entries'!$F:$F,"&lt;="&amp;$E59,'Time Entries'!$P:$P,"&lt;&gt;Draft",'Time Entries'!$P:$P,"&lt;&gt;Rejected")</f>
        <v/>
      </c>
      <c r="J59" s="28">
        <f>SUMIFS('Time Entries'!$M:$M,'Time Entries'!$B:$B,$B59,'Time Entries'!$F:$F,"&gt;="&amp;$D59,'Time Entries'!$F:$F,"&lt;="&amp;$E59,'Time Entries'!$P:$P,"&lt;&gt;Draft",'Time Entries'!$P:$P,"&lt;&gt;Rejected")</f>
        <v/>
      </c>
      <c r="K59" s="28">
        <f>SUMIFS('Time Entries'!$N:$N,'Time Entries'!$B:$B,$B59,'Time Entries'!$F:$F,"&gt;="&amp;$D59,'Time Entries'!$F:$F,"&lt;="&amp;$E59,'Time Entries'!$P:$P,"&lt;&gt;Draft",'Time Entries'!$P:$P,"&lt;&gt;Rejected")</f>
        <v/>
      </c>
      <c r="L59" s="28">
        <f>I59+J59-K59</f>
        <v/>
      </c>
      <c r="M59" s="29" t="n"/>
      <c r="N59" s="29" t="n"/>
    </row>
    <row r="60">
      <c r="C60">
        <f>IFERROR(VLOOKUP(B60,Workers!$A:$H,2,FALSE),"")</f>
        <v/>
      </c>
      <c r="D60" s="25" t="n"/>
      <c r="E60" s="25" t="n"/>
      <c r="H60" s="27">
        <f>SUMIFS('Time Entries'!$J:$J,'Time Entries'!$B:$B,$B60,'Time Entries'!$F:$F,"&gt;="&amp;$D60,'Time Entries'!$F:$F,"&lt;="&amp;$E60,'Time Entries'!$P:$P,"&lt;&gt;Draft",'Time Entries'!$P:$P,"&lt;&gt;Rejected")</f>
        <v/>
      </c>
      <c r="I60" s="28">
        <f>SUMIFS('Time Entries'!$L:$L,'Time Entries'!$B:$B,$B60,'Time Entries'!$F:$F,"&gt;="&amp;$D60,'Time Entries'!$F:$F,"&lt;="&amp;$E60,'Time Entries'!$P:$P,"&lt;&gt;Draft",'Time Entries'!$P:$P,"&lt;&gt;Rejected")</f>
        <v/>
      </c>
      <c r="J60" s="28">
        <f>SUMIFS('Time Entries'!$M:$M,'Time Entries'!$B:$B,$B60,'Time Entries'!$F:$F,"&gt;="&amp;$D60,'Time Entries'!$F:$F,"&lt;="&amp;$E60,'Time Entries'!$P:$P,"&lt;&gt;Draft",'Time Entries'!$P:$P,"&lt;&gt;Rejected")</f>
        <v/>
      </c>
      <c r="K60" s="28">
        <f>SUMIFS('Time Entries'!$N:$N,'Time Entries'!$B:$B,$B60,'Time Entries'!$F:$F,"&gt;="&amp;$D60,'Time Entries'!$F:$F,"&lt;="&amp;$E60,'Time Entries'!$P:$P,"&lt;&gt;Draft",'Time Entries'!$P:$P,"&lt;&gt;Rejected")</f>
        <v/>
      </c>
      <c r="L60" s="28">
        <f>I60+J60-K60</f>
        <v/>
      </c>
      <c r="M60" s="29" t="n"/>
      <c r="N60" s="29" t="n"/>
    </row>
    <row r="61">
      <c r="C61">
        <f>IFERROR(VLOOKUP(B61,Workers!$A:$H,2,FALSE),"")</f>
        <v/>
      </c>
      <c r="D61" s="25" t="n"/>
      <c r="E61" s="25" t="n"/>
      <c r="H61" s="27">
        <f>SUMIFS('Time Entries'!$J:$J,'Time Entries'!$B:$B,$B61,'Time Entries'!$F:$F,"&gt;="&amp;$D61,'Time Entries'!$F:$F,"&lt;="&amp;$E61,'Time Entries'!$P:$P,"&lt;&gt;Draft",'Time Entries'!$P:$P,"&lt;&gt;Rejected")</f>
        <v/>
      </c>
      <c r="I61" s="28">
        <f>SUMIFS('Time Entries'!$L:$L,'Time Entries'!$B:$B,$B61,'Time Entries'!$F:$F,"&gt;="&amp;$D61,'Time Entries'!$F:$F,"&lt;="&amp;$E61,'Time Entries'!$P:$P,"&lt;&gt;Draft",'Time Entries'!$P:$P,"&lt;&gt;Rejected")</f>
        <v/>
      </c>
      <c r="J61" s="28">
        <f>SUMIFS('Time Entries'!$M:$M,'Time Entries'!$B:$B,$B61,'Time Entries'!$F:$F,"&gt;="&amp;$D61,'Time Entries'!$F:$F,"&lt;="&amp;$E61,'Time Entries'!$P:$P,"&lt;&gt;Draft",'Time Entries'!$P:$P,"&lt;&gt;Rejected")</f>
        <v/>
      </c>
      <c r="K61" s="28">
        <f>SUMIFS('Time Entries'!$N:$N,'Time Entries'!$B:$B,$B61,'Time Entries'!$F:$F,"&gt;="&amp;$D61,'Time Entries'!$F:$F,"&lt;="&amp;$E61,'Time Entries'!$P:$P,"&lt;&gt;Draft",'Time Entries'!$P:$P,"&lt;&gt;Rejected")</f>
        <v/>
      </c>
      <c r="L61" s="28">
        <f>I61+J61-K61</f>
        <v/>
      </c>
      <c r="M61" s="29" t="n"/>
      <c r="N61" s="29" t="n"/>
    </row>
    <row r="62">
      <c r="C62">
        <f>IFERROR(VLOOKUP(B62,Workers!$A:$H,2,FALSE),"")</f>
        <v/>
      </c>
      <c r="D62" s="25" t="n"/>
      <c r="E62" s="25" t="n"/>
      <c r="H62" s="27">
        <f>SUMIFS('Time Entries'!$J:$J,'Time Entries'!$B:$B,$B62,'Time Entries'!$F:$F,"&gt;="&amp;$D62,'Time Entries'!$F:$F,"&lt;="&amp;$E62,'Time Entries'!$P:$P,"&lt;&gt;Draft",'Time Entries'!$P:$P,"&lt;&gt;Rejected")</f>
        <v/>
      </c>
      <c r="I62" s="28">
        <f>SUMIFS('Time Entries'!$L:$L,'Time Entries'!$B:$B,$B62,'Time Entries'!$F:$F,"&gt;="&amp;$D62,'Time Entries'!$F:$F,"&lt;="&amp;$E62,'Time Entries'!$P:$P,"&lt;&gt;Draft",'Time Entries'!$P:$P,"&lt;&gt;Rejected")</f>
        <v/>
      </c>
      <c r="J62" s="28">
        <f>SUMIFS('Time Entries'!$M:$M,'Time Entries'!$B:$B,$B62,'Time Entries'!$F:$F,"&gt;="&amp;$D62,'Time Entries'!$F:$F,"&lt;="&amp;$E62,'Time Entries'!$P:$P,"&lt;&gt;Draft",'Time Entries'!$P:$P,"&lt;&gt;Rejected")</f>
        <v/>
      </c>
      <c r="K62" s="28">
        <f>SUMIFS('Time Entries'!$N:$N,'Time Entries'!$B:$B,$B62,'Time Entries'!$F:$F,"&gt;="&amp;$D62,'Time Entries'!$F:$F,"&lt;="&amp;$E62,'Time Entries'!$P:$P,"&lt;&gt;Draft",'Time Entries'!$P:$P,"&lt;&gt;Rejected")</f>
        <v/>
      </c>
      <c r="L62" s="28">
        <f>I62+J62-K62</f>
        <v/>
      </c>
      <c r="M62" s="29" t="n"/>
      <c r="N62" s="29" t="n"/>
    </row>
    <row r="63">
      <c r="C63">
        <f>IFERROR(VLOOKUP(B63,Workers!$A:$H,2,FALSE),"")</f>
        <v/>
      </c>
      <c r="D63" s="25" t="n"/>
      <c r="E63" s="25" t="n"/>
      <c r="H63" s="27">
        <f>SUMIFS('Time Entries'!$J:$J,'Time Entries'!$B:$B,$B63,'Time Entries'!$F:$F,"&gt;="&amp;$D63,'Time Entries'!$F:$F,"&lt;="&amp;$E63,'Time Entries'!$P:$P,"&lt;&gt;Draft",'Time Entries'!$P:$P,"&lt;&gt;Rejected")</f>
        <v/>
      </c>
      <c r="I63" s="28">
        <f>SUMIFS('Time Entries'!$L:$L,'Time Entries'!$B:$B,$B63,'Time Entries'!$F:$F,"&gt;="&amp;$D63,'Time Entries'!$F:$F,"&lt;="&amp;$E63,'Time Entries'!$P:$P,"&lt;&gt;Draft",'Time Entries'!$P:$P,"&lt;&gt;Rejected")</f>
        <v/>
      </c>
      <c r="J63" s="28">
        <f>SUMIFS('Time Entries'!$M:$M,'Time Entries'!$B:$B,$B63,'Time Entries'!$F:$F,"&gt;="&amp;$D63,'Time Entries'!$F:$F,"&lt;="&amp;$E63,'Time Entries'!$P:$P,"&lt;&gt;Draft",'Time Entries'!$P:$P,"&lt;&gt;Rejected")</f>
        <v/>
      </c>
      <c r="K63" s="28">
        <f>SUMIFS('Time Entries'!$N:$N,'Time Entries'!$B:$B,$B63,'Time Entries'!$F:$F,"&gt;="&amp;$D63,'Time Entries'!$F:$F,"&lt;="&amp;$E63,'Time Entries'!$P:$P,"&lt;&gt;Draft",'Time Entries'!$P:$P,"&lt;&gt;Rejected")</f>
        <v/>
      </c>
      <c r="L63" s="28">
        <f>I63+J63-K63</f>
        <v/>
      </c>
      <c r="M63" s="29" t="n"/>
      <c r="N63" s="29" t="n"/>
    </row>
    <row r="64">
      <c r="C64">
        <f>IFERROR(VLOOKUP(B64,Workers!$A:$H,2,FALSE),"")</f>
        <v/>
      </c>
      <c r="D64" s="25" t="n"/>
      <c r="E64" s="25" t="n"/>
      <c r="H64" s="27">
        <f>SUMIFS('Time Entries'!$J:$J,'Time Entries'!$B:$B,$B64,'Time Entries'!$F:$F,"&gt;="&amp;$D64,'Time Entries'!$F:$F,"&lt;="&amp;$E64,'Time Entries'!$P:$P,"&lt;&gt;Draft",'Time Entries'!$P:$P,"&lt;&gt;Rejected")</f>
        <v/>
      </c>
      <c r="I64" s="28">
        <f>SUMIFS('Time Entries'!$L:$L,'Time Entries'!$B:$B,$B64,'Time Entries'!$F:$F,"&gt;="&amp;$D64,'Time Entries'!$F:$F,"&lt;="&amp;$E64,'Time Entries'!$P:$P,"&lt;&gt;Draft",'Time Entries'!$P:$P,"&lt;&gt;Rejected")</f>
        <v/>
      </c>
      <c r="J64" s="28">
        <f>SUMIFS('Time Entries'!$M:$M,'Time Entries'!$B:$B,$B64,'Time Entries'!$F:$F,"&gt;="&amp;$D64,'Time Entries'!$F:$F,"&lt;="&amp;$E64,'Time Entries'!$P:$P,"&lt;&gt;Draft",'Time Entries'!$P:$P,"&lt;&gt;Rejected")</f>
        <v/>
      </c>
      <c r="K64" s="28">
        <f>SUMIFS('Time Entries'!$N:$N,'Time Entries'!$B:$B,$B64,'Time Entries'!$F:$F,"&gt;="&amp;$D64,'Time Entries'!$F:$F,"&lt;="&amp;$E64,'Time Entries'!$P:$P,"&lt;&gt;Draft",'Time Entries'!$P:$P,"&lt;&gt;Rejected")</f>
        <v/>
      </c>
      <c r="L64" s="28">
        <f>I64+J64-K64</f>
        <v/>
      </c>
      <c r="M64" s="29" t="n"/>
      <c r="N64" s="29" t="n"/>
    </row>
    <row r="65">
      <c r="C65">
        <f>IFERROR(VLOOKUP(B65,Workers!$A:$H,2,FALSE),"")</f>
        <v/>
      </c>
      <c r="D65" s="25" t="n"/>
      <c r="E65" s="25" t="n"/>
      <c r="H65" s="27">
        <f>SUMIFS('Time Entries'!$J:$J,'Time Entries'!$B:$B,$B65,'Time Entries'!$F:$F,"&gt;="&amp;$D65,'Time Entries'!$F:$F,"&lt;="&amp;$E65,'Time Entries'!$P:$P,"&lt;&gt;Draft",'Time Entries'!$P:$P,"&lt;&gt;Rejected")</f>
        <v/>
      </c>
      <c r="I65" s="28">
        <f>SUMIFS('Time Entries'!$L:$L,'Time Entries'!$B:$B,$B65,'Time Entries'!$F:$F,"&gt;="&amp;$D65,'Time Entries'!$F:$F,"&lt;="&amp;$E65,'Time Entries'!$P:$P,"&lt;&gt;Draft",'Time Entries'!$P:$P,"&lt;&gt;Rejected")</f>
        <v/>
      </c>
      <c r="J65" s="28">
        <f>SUMIFS('Time Entries'!$M:$M,'Time Entries'!$B:$B,$B65,'Time Entries'!$F:$F,"&gt;="&amp;$D65,'Time Entries'!$F:$F,"&lt;="&amp;$E65,'Time Entries'!$P:$P,"&lt;&gt;Draft",'Time Entries'!$P:$P,"&lt;&gt;Rejected")</f>
        <v/>
      </c>
      <c r="K65" s="28">
        <f>SUMIFS('Time Entries'!$N:$N,'Time Entries'!$B:$B,$B65,'Time Entries'!$F:$F,"&gt;="&amp;$D65,'Time Entries'!$F:$F,"&lt;="&amp;$E65,'Time Entries'!$P:$P,"&lt;&gt;Draft",'Time Entries'!$P:$P,"&lt;&gt;Rejected")</f>
        <v/>
      </c>
      <c r="L65" s="28">
        <f>I65+J65-K65</f>
        <v/>
      </c>
      <c r="M65" s="29" t="n"/>
      <c r="N65" s="29" t="n"/>
    </row>
    <row r="66">
      <c r="C66">
        <f>IFERROR(VLOOKUP(B66,Workers!$A:$H,2,FALSE),"")</f>
        <v/>
      </c>
      <c r="D66" s="25" t="n"/>
      <c r="E66" s="25" t="n"/>
      <c r="H66" s="27">
        <f>SUMIFS('Time Entries'!$J:$J,'Time Entries'!$B:$B,$B66,'Time Entries'!$F:$F,"&gt;="&amp;$D66,'Time Entries'!$F:$F,"&lt;="&amp;$E66,'Time Entries'!$P:$P,"&lt;&gt;Draft",'Time Entries'!$P:$P,"&lt;&gt;Rejected")</f>
        <v/>
      </c>
      <c r="I66" s="28">
        <f>SUMIFS('Time Entries'!$L:$L,'Time Entries'!$B:$B,$B66,'Time Entries'!$F:$F,"&gt;="&amp;$D66,'Time Entries'!$F:$F,"&lt;="&amp;$E66,'Time Entries'!$P:$P,"&lt;&gt;Draft",'Time Entries'!$P:$P,"&lt;&gt;Rejected")</f>
        <v/>
      </c>
      <c r="J66" s="28">
        <f>SUMIFS('Time Entries'!$M:$M,'Time Entries'!$B:$B,$B66,'Time Entries'!$F:$F,"&gt;="&amp;$D66,'Time Entries'!$F:$F,"&lt;="&amp;$E66,'Time Entries'!$P:$P,"&lt;&gt;Draft",'Time Entries'!$P:$P,"&lt;&gt;Rejected")</f>
        <v/>
      </c>
      <c r="K66" s="28">
        <f>SUMIFS('Time Entries'!$N:$N,'Time Entries'!$B:$B,$B66,'Time Entries'!$F:$F,"&gt;="&amp;$D66,'Time Entries'!$F:$F,"&lt;="&amp;$E66,'Time Entries'!$P:$P,"&lt;&gt;Draft",'Time Entries'!$P:$P,"&lt;&gt;Rejected")</f>
        <v/>
      </c>
      <c r="L66" s="28">
        <f>I66+J66-K66</f>
        <v/>
      </c>
      <c r="M66" s="29" t="n"/>
      <c r="N66" s="29" t="n"/>
    </row>
    <row r="67">
      <c r="C67">
        <f>IFERROR(VLOOKUP(B67,Workers!$A:$H,2,FALSE),"")</f>
        <v/>
      </c>
      <c r="D67" s="25" t="n"/>
      <c r="E67" s="25" t="n"/>
      <c r="H67" s="27">
        <f>SUMIFS('Time Entries'!$J:$J,'Time Entries'!$B:$B,$B67,'Time Entries'!$F:$F,"&gt;="&amp;$D67,'Time Entries'!$F:$F,"&lt;="&amp;$E67,'Time Entries'!$P:$P,"&lt;&gt;Draft",'Time Entries'!$P:$P,"&lt;&gt;Rejected")</f>
        <v/>
      </c>
      <c r="I67" s="28">
        <f>SUMIFS('Time Entries'!$L:$L,'Time Entries'!$B:$B,$B67,'Time Entries'!$F:$F,"&gt;="&amp;$D67,'Time Entries'!$F:$F,"&lt;="&amp;$E67,'Time Entries'!$P:$P,"&lt;&gt;Draft",'Time Entries'!$P:$P,"&lt;&gt;Rejected")</f>
        <v/>
      </c>
      <c r="J67" s="28">
        <f>SUMIFS('Time Entries'!$M:$M,'Time Entries'!$B:$B,$B67,'Time Entries'!$F:$F,"&gt;="&amp;$D67,'Time Entries'!$F:$F,"&lt;="&amp;$E67,'Time Entries'!$P:$P,"&lt;&gt;Draft",'Time Entries'!$P:$P,"&lt;&gt;Rejected")</f>
        <v/>
      </c>
      <c r="K67" s="28">
        <f>SUMIFS('Time Entries'!$N:$N,'Time Entries'!$B:$B,$B67,'Time Entries'!$F:$F,"&gt;="&amp;$D67,'Time Entries'!$F:$F,"&lt;="&amp;$E67,'Time Entries'!$P:$P,"&lt;&gt;Draft",'Time Entries'!$P:$P,"&lt;&gt;Rejected")</f>
        <v/>
      </c>
      <c r="L67" s="28">
        <f>I67+J67-K67</f>
        <v/>
      </c>
      <c r="M67" s="29" t="n"/>
      <c r="N67" s="29" t="n"/>
    </row>
    <row r="68">
      <c r="C68">
        <f>IFERROR(VLOOKUP(B68,Workers!$A:$H,2,FALSE),"")</f>
        <v/>
      </c>
      <c r="D68" s="25" t="n"/>
      <c r="E68" s="25" t="n"/>
      <c r="H68" s="27">
        <f>SUMIFS('Time Entries'!$J:$J,'Time Entries'!$B:$B,$B68,'Time Entries'!$F:$F,"&gt;="&amp;$D68,'Time Entries'!$F:$F,"&lt;="&amp;$E68,'Time Entries'!$P:$P,"&lt;&gt;Draft",'Time Entries'!$P:$P,"&lt;&gt;Rejected")</f>
        <v/>
      </c>
      <c r="I68" s="28">
        <f>SUMIFS('Time Entries'!$L:$L,'Time Entries'!$B:$B,$B68,'Time Entries'!$F:$F,"&gt;="&amp;$D68,'Time Entries'!$F:$F,"&lt;="&amp;$E68,'Time Entries'!$P:$P,"&lt;&gt;Draft",'Time Entries'!$P:$P,"&lt;&gt;Rejected")</f>
        <v/>
      </c>
      <c r="J68" s="28">
        <f>SUMIFS('Time Entries'!$M:$M,'Time Entries'!$B:$B,$B68,'Time Entries'!$F:$F,"&gt;="&amp;$D68,'Time Entries'!$F:$F,"&lt;="&amp;$E68,'Time Entries'!$P:$P,"&lt;&gt;Draft",'Time Entries'!$P:$P,"&lt;&gt;Rejected")</f>
        <v/>
      </c>
      <c r="K68" s="28">
        <f>SUMIFS('Time Entries'!$N:$N,'Time Entries'!$B:$B,$B68,'Time Entries'!$F:$F,"&gt;="&amp;$D68,'Time Entries'!$F:$F,"&lt;="&amp;$E68,'Time Entries'!$P:$P,"&lt;&gt;Draft",'Time Entries'!$P:$P,"&lt;&gt;Rejected")</f>
        <v/>
      </c>
      <c r="L68" s="28">
        <f>I68+J68-K68</f>
        <v/>
      </c>
      <c r="M68" s="29" t="n"/>
      <c r="N68" s="29" t="n"/>
    </row>
    <row r="69">
      <c r="C69">
        <f>IFERROR(VLOOKUP(B69,Workers!$A:$H,2,FALSE),"")</f>
        <v/>
      </c>
      <c r="D69" s="25" t="n"/>
      <c r="E69" s="25" t="n"/>
      <c r="H69" s="27">
        <f>SUMIFS('Time Entries'!$J:$J,'Time Entries'!$B:$B,$B69,'Time Entries'!$F:$F,"&gt;="&amp;$D69,'Time Entries'!$F:$F,"&lt;="&amp;$E69,'Time Entries'!$P:$P,"&lt;&gt;Draft",'Time Entries'!$P:$P,"&lt;&gt;Rejected")</f>
        <v/>
      </c>
      <c r="I69" s="28">
        <f>SUMIFS('Time Entries'!$L:$L,'Time Entries'!$B:$B,$B69,'Time Entries'!$F:$F,"&gt;="&amp;$D69,'Time Entries'!$F:$F,"&lt;="&amp;$E69,'Time Entries'!$P:$P,"&lt;&gt;Draft",'Time Entries'!$P:$P,"&lt;&gt;Rejected")</f>
        <v/>
      </c>
      <c r="J69" s="28">
        <f>SUMIFS('Time Entries'!$M:$M,'Time Entries'!$B:$B,$B69,'Time Entries'!$F:$F,"&gt;="&amp;$D69,'Time Entries'!$F:$F,"&lt;="&amp;$E69,'Time Entries'!$P:$P,"&lt;&gt;Draft",'Time Entries'!$P:$P,"&lt;&gt;Rejected")</f>
        <v/>
      </c>
      <c r="K69" s="28">
        <f>SUMIFS('Time Entries'!$N:$N,'Time Entries'!$B:$B,$B69,'Time Entries'!$F:$F,"&gt;="&amp;$D69,'Time Entries'!$F:$F,"&lt;="&amp;$E69,'Time Entries'!$P:$P,"&lt;&gt;Draft",'Time Entries'!$P:$P,"&lt;&gt;Rejected")</f>
        <v/>
      </c>
      <c r="L69" s="28">
        <f>I69+J69-K69</f>
        <v/>
      </c>
      <c r="M69" s="29" t="n"/>
      <c r="N69" s="29" t="n"/>
    </row>
    <row r="70">
      <c r="C70">
        <f>IFERROR(VLOOKUP(B70,Workers!$A:$H,2,FALSE),"")</f>
        <v/>
      </c>
      <c r="D70" s="25" t="n"/>
      <c r="E70" s="25" t="n"/>
      <c r="H70" s="27">
        <f>SUMIFS('Time Entries'!$J:$J,'Time Entries'!$B:$B,$B70,'Time Entries'!$F:$F,"&gt;="&amp;$D70,'Time Entries'!$F:$F,"&lt;="&amp;$E70,'Time Entries'!$P:$P,"&lt;&gt;Draft",'Time Entries'!$P:$P,"&lt;&gt;Rejected")</f>
        <v/>
      </c>
      <c r="I70" s="28">
        <f>SUMIFS('Time Entries'!$L:$L,'Time Entries'!$B:$B,$B70,'Time Entries'!$F:$F,"&gt;="&amp;$D70,'Time Entries'!$F:$F,"&lt;="&amp;$E70,'Time Entries'!$P:$P,"&lt;&gt;Draft",'Time Entries'!$P:$P,"&lt;&gt;Rejected")</f>
        <v/>
      </c>
      <c r="J70" s="28">
        <f>SUMIFS('Time Entries'!$M:$M,'Time Entries'!$B:$B,$B70,'Time Entries'!$F:$F,"&gt;="&amp;$D70,'Time Entries'!$F:$F,"&lt;="&amp;$E70,'Time Entries'!$P:$P,"&lt;&gt;Draft",'Time Entries'!$P:$P,"&lt;&gt;Rejected")</f>
        <v/>
      </c>
      <c r="K70" s="28">
        <f>SUMIFS('Time Entries'!$N:$N,'Time Entries'!$B:$B,$B70,'Time Entries'!$F:$F,"&gt;="&amp;$D70,'Time Entries'!$F:$F,"&lt;="&amp;$E70,'Time Entries'!$P:$P,"&lt;&gt;Draft",'Time Entries'!$P:$P,"&lt;&gt;Rejected")</f>
        <v/>
      </c>
      <c r="L70" s="28">
        <f>I70+J70-K70</f>
        <v/>
      </c>
      <c r="M70" s="29" t="n"/>
      <c r="N70" s="29" t="n"/>
    </row>
    <row r="71">
      <c r="C71">
        <f>IFERROR(VLOOKUP(B71,Workers!$A:$H,2,FALSE),"")</f>
        <v/>
      </c>
      <c r="D71" s="25" t="n"/>
      <c r="E71" s="25" t="n"/>
      <c r="H71" s="27">
        <f>SUMIFS('Time Entries'!$J:$J,'Time Entries'!$B:$B,$B71,'Time Entries'!$F:$F,"&gt;="&amp;$D71,'Time Entries'!$F:$F,"&lt;="&amp;$E71,'Time Entries'!$P:$P,"&lt;&gt;Draft",'Time Entries'!$P:$P,"&lt;&gt;Rejected")</f>
        <v/>
      </c>
      <c r="I71" s="28">
        <f>SUMIFS('Time Entries'!$L:$L,'Time Entries'!$B:$B,$B71,'Time Entries'!$F:$F,"&gt;="&amp;$D71,'Time Entries'!$F:$F,"&lt;="&amp;$E71,'Time Entries'!$P:$P,"&lt;&gt;Draft",'Time Entries'!$P:$P,"&lt;&gt;Rejected")</f>
        <v/>
      </c>
      <c r="J71" s="28">
        <f>SUMIFS('Time Entries'!$M:$M,'Time Entries'!$B:$B,$B71,'Time Entries'!$F:$F,"&gt;="&amp;$D71,'Time Entries'!$F:$F,"&lt;="&amp;$E71,'Time Entries'!$P:$P,"&lt;&gt;Draft",'Time Entries'!$P:$P,"&lt;&gt;Rejected")</f>
        <v/>
      </c>
      <c r="K71" s="28">
        <f>SUMIFS('Time Entries'!$N:$N,'Time Entries'!$B:$B,$B71,'Time Entries'!$F:$F,"&gt;="&amp;$D71,'Time Entries'!$F:$F,"&lt;="&amp;$E71,'Time Entries'!$P:$P,"&lt;&gt;Draft",'Time Entries'!$P:$P,"&lt;&gt;Rejected")</f>
        <v/>
      </c>
      <c r="L71" s="28">
        <f>I71+J71-K71</f>
        <v/>
      </c>
      <c r="M71" s="29" t="n"/>
      <c r="N71" s="29" t="n"/>
    </row>
    <row r="72">
      <c r="C72">
        <f>IFERROR(VLOOKUP(B72,Workers!$A:$H,2,FALSE),"")</f>
        <v/>
      </c>
      <c r="D72" s="25" t="n"/>
      <c r="E72" s="25" t="n"/>
      <c r="H72" s="27">
        <f>SUMIFS('Time Entries'!$J:$J,'Time Entries'!$B:$B,$B72,'Time Entries'!$F:$F,"&gt;="&amp;$D72,'Time Entries'!$F:$F,"&lt;="&amp;$E72,'Time Entries'!$P:$P,"&lt;&gt;Draft",'Time Entries'!$P:$P,"&lt;&gt;Rejected")</f>
        <v/>
      </c>
      <c r="I72" s="28">
        <f>SUMIFS('Time Entries'!$L:$L,'Time Entries'!$B:$B,$B72,'Time Entries'!$F:$F,"&gt;="&amp;$D72,'Time Entries'!$F:$F,"&lt;="&amp;$E72,'Time Entries'!$P:$P,"&lt;&gt;Draft",'Time Entries'!$P:$P,"&lt;&gt;Rejected")</f>
        <v/>
      </c>
      <c r="J72" s="28">
        <f>SUMIFS('Time Entries'!$M:$M,'Time Entries'!$B:$B,$B72,'Time Entries'!$F:$F,"&gt;="&amp;$D72,'Time Entries'!$F:$F,"&lt;="&amp;$E72,'Time Entries'!$P:$P,"&lt;&gt;Draft",'Time Entries'!$P:$P,"&lt;&gt;Rejected")</f>
        <v/>
      </c>
      <c r="K72" s="28">
        <f>SUMIFS('Time Entries'!$N:$N,'Time Entries'!$B:$B,$B72,'Time Entries'!$F:$F,"&gt;="&amp;$D72,'Time Entries'!$F:$F,"&lt;="&amp;$E72,'Time Entries'!$P:$P,"&lt;&gt;Draft",'Time Entries'!$P:$P,"&lt;&gt;Rejected")</f>
        <v/>
      </c>
      <c r="L72" s="28">
        <f>I72+J72-K72</f>
        <v/>
      </c>
      <c r="M72" s="29" t="n"/>
      <c r="N72" s="29" t="n"/>
    </row>
    <row r="73">
      <c r="C73">
        <f>IFERROR(VLOOKUP(B73,Workers!$A:$H,2,FALSE),"")</f>
        <v/>
      </c>
      <c r="D73" s="25" t="n"/>
      <c r="E73" s="25" t="n"/>
      <c r="H73" s="27">
        <f>SUMIFS('Time Entries'!$J:$J,'Time Entries'!$B:$B,$B73,'Time Entries'!$F:$F,"&gt;="&amp;$D73,'Time Entries'!$F:$F,"&lt;="&amp;$E73,'Time Entries'!$P:$P,"&lt;&gt;Draft",'Time Entries'!$P:$P,"&lt;&gt;Rejected")</f>
        <v/>
      </c>
      <c r="I73" s="28">
        <f>SUMIFS('Time Entries'!$L:$L,'Time Entries'!$B:$B,$B73,'Time Entries'!$F:$F,"&gt;="&amp;$D73,'Time Entries'!$F:$F,"&lt;="&amp;$E73,'Time Entries'!$P:$P,"&lt;&gt;Draft",'Time Entries'!$P:$P,"&lt;&gt;Rejected")</f>
        <v/>
      </c>
      <c r="J73" s="28">
        <f>SUMIFS('Time Entries'!$M:$M,'Time Entries'!$B:$B,$B73,'Time Entries'!$F:$F,"&gt;="&amp;$D73,'Time Entries'!$F:$F,"&lt;="&amp;$E73,'Time Entries'!$P:$P,"&lt;&gt;Draft",'Time Entries'!$P:$P,"&lt;&gt;Rejected")</f>
        <v/>
      </c>
      <c r="K73" s="28">
        <f>SUMIFS('Time Entries'!$N:$N,'Time Entries'!$B:$B,$B73,'Time Entries'!$F:$F,"&gt;="&amp;$D73,'Time Entries'!$F:$F,"&lt;="&amp;$E73,'Time Entries'!$P:$P,"&lt;&gt;Draft",'Time Entries'!$P:$P,"&lt;&gt;Rejected")</f>
        <v/>
      </c>
      <c r="L73" s="28">
        <f>I73+J73-K73</f>
        <v/>
      </c>
      <c r="M73" s="29" t="n"/>
      <c r="N73" s="29" t="n"/>
    </row>
    <row r="74">
      <c r="C74">
        <f>IFERROR(VLOOKUP(B74,Workers!$A:$H,2,FALSE),"")</f>
        <v/>
      </c>
      <c r="D74" s="25" t="n"/>
      <c r="E74" s="25" t="n"/>
      <c r="H74" s="27">
        <f>SUMIFS('Time Entries'!$J:$J,'Time Entries'!$B:$B,$B74,'Time Entries'!$F:$F,"&gt;="&amp;$D74,'Time Entries'!$F:$F,"&lt;="&amp;$E74,'Time Entries'!$P:$P,"&lt;&gt;Draft",'Time Entries'!$P:$P,"&lt;&gt;Rejected")</f>
        <v/>
      </c>
      <c r="I74" s="28">
        <f>SUMIFS('Time Entries'!$L:$L,'Time Entries'!$B:$B,$B74,'Time Entries'!$F:$F,"&gt;="&amp;$D74,'Time Entries'!$F:$F,"&lt;="&amp;$E74,'Time Entries'!$P:$P,"&lt;&gt;Draft",'Time Entries'!$P:$P,"&lt;&gt;Rejected")</f>
        <v/>
      </c>
      <c r="J74" s="28">
        <f>SUMIFS('Time Entries'!$M:$M,'Time Entries'!$B:$B,$B74,'Time Entries'!$F:$F,"&gt;="&amp;$D74,'Time Entries'!$F:$F,"&lt;="&amp;$E74,'Time Entries'!$P:$P,"&lt;&gt;Draft",'Time Entries'!$P:$P,"&lt;&gt;Rejected")</f>
        <v/>
      </c>
      <c r="K74" s="28">
        <f>SUMIFS('Time Entries'!$N:$N,'Time Entries'!$B:$B,$B74,'Time Entries'!$F:$F,"&gt;="&amp;$D74,'Time Entries'!$F:$F,"&lt;="&amp;$E74,'Time Entries'!$P:$P,"&lt;&gt;Draft",'Time Entries'!$P:$P,"&lt;&gt;Rejected")</f>
        <v/>
      </c>
      <c r="L74" s="28">
        <f>I74+J74-K74</f>
        <v/>
      </c>
      <c r="M74" s="29" t="n"/>
      <c r="N74" s="29" t="n"/>
    </row>
    <row r="75">
      <c r="C75">
        <f>IFERROR(VLOOKUP(B75,Workers!$A:$H,2,FALSE),"")</f>
        <v/>
      </c>
      <c r="D75" s="25" t="n"/>
      <c r="E75" s="25" t="n"/>
      <c r="H75" s="27">
        <f>SUMIFS('Time Entries'!$J:$J,'Time Entries'!$B:$B,$B75,'Time Entries'!$F:$F,"&gt;="&amp;$D75,'Time Entries'!$F:$F,"&lt;="&amp;$E75,'Time Entries'!$P:$P,"&lt;&gt;Draft",'Time Entries'!$P:$P,"&lt;&gt;Rejected")</f>
        <v/>
      </c>
      <c r="I75" s="28">
        <f>SUMIFS('Time Entries'!$L:$L,'Time Entries'!$B:$B,$B75,'Time Entries'!$F:$F,"&gt;="&amp;$D75,'Time Entries'!$F:$F,"&lt;="&amp;$E75,'Time Entries'!$P:$P,"&lt;&gt;Draft",'Time Entries'!$P:$P,"&lt;&gt;Rejected")</f>
        <v/>
      </c>
      <c r="J75" s="28">
        <f>SUMIFS('Time Entries'!$M:$M,'Time Entries'!$B:$B,$B75,'Time Entries'!$F:$F,"&gt;="&amp;$D75,'Time Entries'!$F:$F,"&lt;="&amp;$E75,'Time Entries'!$P:$P,"&lt;&gt;Draft",'Time Entries'!$P:$P,"&lt;&gt;Rejected")</f>
        <v/>
      </c>
      <c r="K75" s="28">
        <f>SUMIFS('Time Entries'!$N:$N,'Time Entries'!$B:$B,$B75,'Time Entries'!$F:$F,"&gt;="&amp;$D75,'Time Entries'!$F:$F,"&lt;="&amp;$E75,'Time Entries'!$P:$P,"&lt;&gt;Draft",'Time Entries'!$P:$P,"&lt;&gt;Rejected")</f>
        <v/>
      </c>
      <c r="L75" s="28">
        <f>I75+J75-K75</f>
        <v/>
      </c>
      <c r="M75" s="29" t="n"/>
      <c r="N75" s="29" t="n"/>
    </row>
    <row r="76">
      <c r="C76">
        <f>IFERROR(VLOOKUP(B76,Workers!$A:$H,2,FALSE),"")</f>
        <v/>
      </c>
      <c r="D76" s="25" t="n"/>
      <c r="E76" s="25" t="n"/>
      <c r="H76" s="27">
        <f>SUMIFS('Time Entries'!$J:$J,'Time Entries'!$B:$B,$B76,'Time Entries'!$F:$F,"&gt;="&amp;$D76,'Time Entries'!$F:$F,"&lt;="&amp;$E76,'Time Entries'!$P:$P,"&lt;&gt;Draft",'Time Entries'!$P:$P,"&lt;&gt;Rejected")</f>
        <v/>
      </c>
      <c r="I76" s="28">
        <f>SUMIFS('Time Entries'!$L:$L,'Time Entries'!$B:$B,$B76,'Time Entries'!$F:$F,"&gt;="&amp;$D76,'Time Entries'!$F:$F,"&lt;="&amp;$E76,'Time Entries'!$P:$P,"&lt;&gt;Draft",'Time Entries'!$P:$P,"&lt;&gt;Rejected")</f>
        <v/>
      </c>
      <c r="J76" s="28">
        <f>SUMIFS('Time Entries'!$M:$M,'Time Entries'!$B:$B,$B76,'Time Entries'!$F:$F,"&gt;="&amp;$D76,'Time Entries'!$F:$F,"&lt;="&amp;$E76,'Time Entries'!$P:$P,"&lt;&gt;Draft",'Time Entries'!$P:$P,"&lt;&gt;Rejected")</f>
        <v/>
      </c>
      <c r="K76" s="28">
        <f>SUMIFS('Time Entries'!$N:$N,'Time Entries'!$B:$B,$B76,'Time Entries'!$F:$F,"&gt;="&amp;$D76,'Time Entries'!$F:$F,"&lt;="&amp;$E76,'Time Entries'!$P:$P,"&lt;&gt;Draft",'Time Entries'!$P:$P,"&lt;&gt;Rejected")</f>
        <v/>
      </c>
      <c r="L76" s="28">
        <f>I76+J76-K76</f>
        <v/>
      </c>
      <c r="M76" s="29" t="n"/>
      <c r="N76" s="29" t="n"/>
    </row>
    <row r="77">
      <c r="C77">
        <f>IFERROR(VLOOKUP(B77,Workers!$A:$H,2,FALSE),"")</f>
        <v/>
      </c>
      <c r="D77" s="25" t="n"/>
      <c r="E77" s="25" t="n"/>
      <c r="H77" s="27">
        <f>SUMIFS('Time Entries'!$J:$J,'Time Entries'!$B:$B,$B77,'Time Entries'!$F:$F,"&gt;="&amp;$D77,'Time Entries'!$F:$F,"&lt;="&amp;$E77,'Time Entries'!$P:$P,"&lt;&gt;Draft",'Time Entries'!$P:$P,"&lt;&gt;Rejected")</f>
        <v/>
      </c>
      <c r="I77" s="28">
        <f>SUMIFS('Time Entries'!$L:$L,'Time Entries'!$B:$B,$B77,'Time Entries'!$F:$F,"&gt;="&amp;$D77,'Time Entries'!$F:$F,"&lt;="&amp;$E77,'Time Entries'!$P:$P,"&lt;&gt;Draft",'Time Entries'!$P:$P,"&lt;&gt;Rejected")</f>
        <v/>
      </c>
      <c r="J77" s="28">
        <f>SUMIFS('Time Entries'!$M:$M,'Time Entries'!$B:$B,$B77,'Time Entries'!$F:$F,"&gt;="&amp;$D77,'Time Entries'!$F:$F,"&lt;="&amp;$E77,'Time Entries'!$P:$P,"&lt;&gt;Draft",'Time Entries'!$P:$P,"&lt;&gt;Rejected")</f>
        <v/>
      </c>
      <c r="K77" s="28">
        <f>SUMIFS('Time Entries'!$N:$N,'Time Entries'!$B:$B,$B77,'Time Entries'!$F:$F,"&gt;="&amp;$D77,'Time Entries'!$F:$F,"&lt;="&amp;$E77,'Time Entries'!$P:$P,"&lt;&gt;Draft",'Time Entries'!$P:$P,"&lt;&gt;Rejected")</f>
        <v/>
      </c>
      <c r="L77" s="28">
        <f>I77+J77-K77</f>
        <v/>
      </c>
      <c r="M77" s="29" t="n"/>
      <c r="N77" s="29" t="n"/>
    </row>
    <row r="78">
      <c r="C78">
        <f>IFERROR(VLOOKUP(B78,Workers!$A:$H,2,FALSE),"")</f>
        <v/>
      </c>
      <c r="D78" s="25" t="n"/>
      <c r="E78" s="25" t="n"/>
      <c r="H78" s="27">
        <f>SUMIFS('Time Entries'!$J:$J,'Time Entries'!$B:$B,$B78,'Time Entries'!$F:$F,"&gt;="&amp;$D78,'Time Entries'!$F:$F,"&lt;="&amp;$E78,'Time Entries'!$P:$P,"&lt;&gt;Draft",'Time Entries'!$P:$P,"&lt;&gt;Rejected")</f>
        <v/>
      </c>
      <c r="I78" s="28">
        <f>SUMIFS('Time Entries'!$L:$L,'Time Entries'!$B:$B,$B78,'Time Entries'!$F:$F,"&gt;="&amp;$D78,'Time Entries'!$F:$F,"&lt;="&amp;$E78,'Time Entries'!$P:$P,"&lt;&gt;Draft",'Time Entries'!$P:$P,"&lt;&gt;Rejected")</f>
        <v/>
      </c>
      <c r="J78" s="28">
        <f>SUMIFS('Time Entries'!$M:$M,'Time Entries'!$B:$B,$B78,'Time Entries'!$F:$F,"&gt;="&amp;$D78,'Time Entries'!$F:$F,"&lt;="&amp;$E78,'Time Entries'!$P:$P,"&lt;&gt;Draft",'Time Entries'!$P:$P,"&lt;&gt;Rejected")</f>
        <v/>
      </c>
      <c r="K78" s="28">
        <f>SUMIFS('Time Entries'!$N:$N,'Time Entries'!$B:$B,$B78,'Time Entries'!$F:$F,"&gt;="&amp;$D78,'Time Entries'!$F:$F,"&lt;="&amp;$E78,'Time Entries'!$P:$P,"&lt;&gt;Draft",'Time Entries'!$P:$P,"&lt;&gt;Rejected")</f>
        <v/>
      </c>
      <c r="L78" s="28">
        <f>I78+J78-K78</f>
        <v/>
      </c>
      <c r="M78" s="29" t="n"/>
      <c r="N78" s="29" t="n"/>
    </row>
    <row r="79">
      <c r="C79">
        <f>IFERROR(VLOOKUP(B79,Workers!$A:$H,2,FALSE),"")</f>
        <v/>
      </c>
      <c r="D79" s="25" t="n"/>
      <c r="E79" s="25" t="n"/>
      <c r="H79" s="27">
        <f>SUMIFS('Time Entries'!$J:$J,'Time Entries'!$B:$B,$B79,'Time Entries'!$F:$F,"&gt;="&amp;$D79,'Time Entries'!$F:$F,"&lt;="&amp;$E79,'Time Entries'!$P:$P,"&lt;&gt;Draft",'Time Entries'!$P:$P,"&lt;&gt;Rejected")</f>
        <v/>
      </c>
      <c r="I79" s="28">
        <f>SUMIFS('Time Entries'!$L:$L,'Time Entries'!$B:$B,$B79,'Time Entries'!$F:$F,"&gt;="&amp;$D79,'Time Entries'!$F:$F,"&lt;="&amp;$E79,'Time Entries'!$P:$P,"&lt;&gt;Draft",'Time Entries'!$P:$P,"&lt;&gt;Rejected")</f>
        <v/>
      </c>
      <c r="J79" s="28">
        <f>SUMIFS('Time Entries'!$M:$M,'Time Entries'!$B:$B,$B79,'Time Entries'!$F:$F,"&gt;="&amp;$D79,'Time Entries'!$F:$F,"&lt;="&amp;$E79,'Time Entries'!$P:$P,"&lt;&gt;Draft",'Time Entries'!$P:$P,"&lt;&gt;Rejected")</f>
        <v/>
      </c>
      <c r="K79" s="28">
        <f>SUMIFS('Time Entries'!$N:$N,'Time Entries'!$B:$B,$B79,'Time Entries'!$F:$F,"&gt;="&amp;$D79,'Time Entries'!$F:$F,"&lt;="&amp;$E79,'Time Entries'!$P:$P,"&lt;&gt;Draft",'Time Entries'!$P:$P,"&lt;&gt;Rejected")</f>
        <v/>
      </c>
      <c r="L79" s="28">
        <f>I79+J79-K79</f>
        <v/>
      </c>
      <c r="M79" s="29" t="n"/>
      <c r="N79" s="29" t="n"/>
    </row>
    <row r="80">
      <c r="C80">
        <f>IFERROR(VLOOKUP(B80,Workers!$A:$H,2,FALSE),"")</f>
        <v/>
      </c>
      <c r="D80" s="25" t="n"/>
      <c r="E80" s="25" t="n"/>
      <c r="H80" s="27">
        <f>SUMIFS('Time Entries'!$J:$J,'Time Entries'!$B:$B,$B80,'Time Entries'!$F:$F,"&gt;="&amp;$D80,'Time Entries'!$F:$F,"&lt;="&amp;$E80,'Time Entries'!$P:$P,"&lt;&gt;Draft",'Time Entries'!$P:$P,"&lt;&gt;Rejected")</f>
        <v/>
      </c>
      <c r="I80" s="28">
        <f>SUMIFS('Time Entries'!$L:$L,'Time Entries'!$B:$B,$B80,'Time Entries'!$F:$F,"&gt;="&amp;$D80,'Time Entries'!$F:$F,"&lt;="&amp;$E80,'Time Entries'!$P:$P,"&lt;&gt;Draft",'Time Entries'!$P:$P,"&lt;&gt;Rejected")</f>
        <v/>
      </c>
      <c r="J80" s="28">
        <f>SUMIFS('Time Entries'!$M:$M,'Time Entries'!$B:$B,$B80,'Time Entries'!$F:$F,"&gt;="&amp;$D80,'Time Entries'!$F:$F,"&lt;="&amp;$E80,'Time Entries'!$P:$P,"&lt;&gt;Draft",'Time Entries'!$P:$P,"&lt;&gt;Rejected")</f>
        <v/>
      </c>
      <c r="K80" s="28">
        <f>SUMIFS('Time Entries'!$N:$N,'Time Entries'!$B:$B,$B80,'Time Entries'!$F:$F,"&gt;="&amp;$D80,'Time Entries'!$F:$F,"&lt;="&amp;$E80,'Time Entries'!$P:$P,"&lt;&gt;Draft",'Time Entries'!$P:$P,"&lt;&gt;Rejected")</f>
        <v/>
      </c>
      <c r="L80" s="28">
        <f>I80+J80-K80</f>
        <v/>
      </c>
      <c r="M80" s="29" t="n"/>
      <c r="N80" s="29" t="n"/>
    </row>
    <row r="81">
      <c r="C81">
        <f>IFERROR(VLOOKUP(B81,Workers!$A:$H,2,FALSE),"")</f>
        <v/>
      </c>
      <c r="D81" s="25" t="n"/>
      <c r="E81" s="25" t="n"/>
      <c r="H81" s="27">
        <f>SUMIFS('Time Entries'!$J:$J,'Time Entries'!$B:$B,$B81,'Time Entries'!$F:$F,"&gt;="&amp;$D81,'Time Entries'!$F:$F,"&lt;="&amp;$E81,'Time Entries'!$P:$P,"&lt;&gt;Draft",'Time Entries'!$P:$P,"&lt;&gt;Rejected")</f>
        <v/>
      </c>
      <c r="I81" s="28">
        <f>SUMIFS('Time Entries'!$L:$L,'Time Entries'!$B:$B,$B81,'Time Entries'!$F:$F,"&gt;="&amp;$D81,'Time Entries'!$F:$F,"&lt;="&amp;$E81,'Time Entries'!$P:$P,"&lt;&gt;Draft",'Time Entries'!$P:$P,"&lt;&gt;Rejected")</f>
        <v/>
      </c>
      <c r="J81" s="28">
        <f>SUMIFS('Time Entries'!$M:$M,'Time Entries'!$B:$B,$B81,'Time Entries'!$F:$F,"&gt;="&amp;$D81,'Time Entries'!$F:$F,"&lt;="&amp;$E81,'Time Entries'!$P:$P,"&lt;&gt;Draft",'Time Entries'!$P:$P,"&lt;&gt;Rejected")</f>
        <v/>
      </c>
      <c r="K81" s="28">
        <f>SUMIFS('Time Entries'!$N:$N,'Time Entries'!$B:$B,$B81,'Time Entries'!$F:$F,"&gt;="&amp;$D81,'Time Entries'!$F:$F,"&lt;="&amp;$E81,'Time Entries'!$P:$P,"&lt;&gt;Draft",'Time Entries'!$P:$P,"&lt;&gt;Rejected")</f>
        <v/>
      </c>
      <c r="L81" s="28">
        <f>I81+J81-K81</f>
        <v/>
      </c>
      <c r="M81" s="29" t="n"/>
      <c r="N81" s="29" t="n"/>
    </row>
    <row r="82">
      <c r="C82">
        <f>IFERROR(VLOOKUP(B82,Workers!$A:$H,2,FALSE),"")</f>
        <v/>
      </c>
      <c r="D82" s="25" t="n"/>
      <c r="E82" s="25" t="n"/>
      <c r="H82" s="27">
        <f>SUMIFS('Time Entries'!$J:$J,'Time Entries'!$B:$B,$B82,'Time Entries'!$F:$F,"&gt;="&amp;$D82,'Time Entries'!$F:$F,"&lt;="&amp;$E82,'Time Entries'!$P:$P,"&lt;&gt;Draft",'Time Entries'!$P:$P,"&lt;&gt;Rejected")</f>
        <v/>
      </c>
      <c r="I82" s="28">
        <f>SUMIFS('Time Entries'!$L:$L,'Time Entries'!$B:$B,$B82,'Time Entries'!$F:$F,"&gt;="&amp;$D82,'Time Entries'!$F:$F,"&lt;="&amp;$E82,'Time Entries'!$P:$P,"&lt;&gt;Draft",'Time Entries'!$P:$P,"&lt;&gt;Rejected")</f>
        <v/>
      </c>
      <c r="J82" s="28">
        <f>SUMIFS('Time Entries'!$M:$M,'Time Entries'!$B:$B,$B82,'Time Entries'!$F:$F,"&gt;="&amp;$D82,'Time Entries'!$F:$F,"&lt;="&amp;$E82,'Time Entries'!$P:$P,"&lt;&gt;Draft",'Time Entries'!$P:$P,"&lt;&gt;Rejected")</f>
        <v/>
      </c>
      <c r="K82" s="28">
        <f>SUMIFS('Time Entries'!$N:$N,'Time Entries'!$B:$B,$B82,'Time Entries'!$F:$F,"&gt;="&amp;$D82,'Time Entries'!$F:$F,"&lt;="&amp;$E82,'Time Entries'!$P:$P,"&lt;&gt;Draft",'Time Entries'!$P:$P,"&lt;&gt;Rejected")</f>
        <v/>
      </c>
      <c r="L82" s="28">
        <f>I82+J82-K82</f>
        <v/>
      </c>
      <c r="M82" s="29" t="n"/>
      <c r="N82" s="29" t="n"/>
    </row>
    <row r="83">
      <c r="C83">
        <f>IFERROR(VLOOKUP(B83,Workers!$A:$H,2,FALSE),"")</f>
        <v/>
      </c>
      <c r="D83" s="25" t="n"/>
      <c r="E83" s="25" t="n"/>
      <c r="H83" s="27">
        <f>SUMIFS('Time Entries'!$J:$J,'Time Entries'!$B:$B,$B83,'Time Entries'!$F:$F,"&gt;="&amp;$D83,'Time Entries'!$F:$F,"&lt;="&amp;$E83,'Time Entries'!$P:$P,"&lt;&gt;Draft",'Time Entries'!$P:$P,"&lt;&gt;Rejected")</f>
        <v/>
      </c>
      <c r="I83" s="28">
        <f>SUMIFS('Time Entries'!$L:$L,'Time Entries'!$B:$B,$B83,'Time Entries'!$F:$F,"&gt;="&amp;$D83,'Time Entries'!$F:$F,"&lt;="&amp;$E83,'Time Entries'!$P:$P,"&lt;&gt;Draft",'Time Entries'!$P:$P,"&lt;&gt;Rejected")</f>
        <v/>
      </c>
      <c r="J83" s="28">
        <f>SUMIFS('Time Entries'!$M:$M,'Time Entries'!$B:$B,$B83,'Time Entries'!$F:$F,"&gt;="&amp;$D83,'Time Entries'!$F:$F,"&lt;="&amp;$E83,'Time Entries'!$P:$P,"&lt;&gt;Draft",'Time Entries'!$P:$P,"&lt;&gt;Rejected")</f>
        <v/>
      </c>
      <c r="K83" s="28">
        <f>SUMIFS('Time Entries'!$N:$N,'Time Entries'!$B:$B,$B83,'Time Entries'!$F:$F,"&gt;="&amp;$D83,'Time Entries'!$F:$F,"&lt;="&amp;$E83,'Time Entries'!$P:$P,"&lt;&gt;Draft",'Time Entries'!$P:$P,"&lt;&gt;Rejected")</f>
        <v/>
      </c>
      <c r="L83" s="28">
        <f>I83+J83-K83</f>
        <v/>
      </c>
      <c r="M83" s="29" t="n"/>
      <c r="N83" s="29" t="n"/>
    </row>
    <row r="84">
      <c r="C84">
        <f>IFERROR(VLOOKUP(B84,Workers!$A:$H,2,FALSE),"")</f>
        <v/>
      </c>
      <c r="D84" s="25" t="n"/>
      <c r="E84" s="25" t="n"/>
      <c r="H84" s="27">
        <f>SUMIFS('Time Entries'!$J:$J,'Time Entries'!$B:$B,$B84,'Time Entries'!$F:$F,"&gt;="&amp;$D84,'Time Entries'!$F:$F,"&lt;="&amp;$E84,'Time Entries'!$P:$P,"&lt;&gt;Draft",'Time Entries'!$P:$P,"&lt;&gt;Rejected")</f>
        <v/>
      </c>
      <c r="I84" s="28">
        <f>SUMIFS('Time Entries'!$L:$L,'Time Entries'!$B:$B,$B84,'Time Entries'!$F:$F,"&gt;="&amp;$D84,'Time Entries'!$F:$F,"&lt;="&amp;$E84,'Time Entries'!$P:$P,"&lt;&gt;Draft",'Time Entries'!$P:$P,"&lt;&gt;Rejected")</f>
        <v/>
      </c>
      <c r="J84" s="28">
        <f>SUMIFS('Time Entries'!$M:$M,'Time Entries'!$B:$B,$B84,'Time Entries'!$F:$F,"&gt;="&amp;$D84,'Time Entries'!$F:$F,"&lt;="&amp;$E84,'Time Entries'!$P:$P,"&lt;&gt;Draft",'Time Entries'!$P:$P,"&lt;&gt;Rejected")</f>
        <v/>
      </c>
      <c r="K84" s="28">
        <f>SUMIFS('Time Entries'!$N:$N,'Time Entries'!$B:$B,$B84,'Time Entries'!$F:$F,"&gt;="&amp;$D84,'Time Entries'!$F:$F,"&lt;="&amp;$E84,'Time Entries'!$P:$P,"&lt;&gt;Draft",'Time Entries'!$P:$P,"&lt;&gt;Rejected")</f>
        <v/>
      </c>
      <c r="L84" s="28">
        <f>I84+J84-K84</f>
        <v/>
      </c>
      <c r="M84" s="29" t="n"/>
      <c r="N84" s="29" t="n"/>
    </row>
    <row r="85">
      <c r="C85">
        <f>IFERROR(VLOOKUP(B85,Workers!$A:$H,2,FALSE),"")</f>
        <v/>
      </c>
      <c r="D85" s="25" t="n"/>
      <c r="E85" s="25" t="n"/>
      <c r="H85" s="27">
        <f>SUMIFS('Time Entries'!$J:$J,'Time Entries'!$B:$B,$B85,'Time Entries'!$F:$F,"&gt;="&amp;$D85,'Time Entries'!$F:$F,"&lt;="&amp;$E85,'Time Entries'!$P:$P,"&lt;&gt;Draft",'Time Entries'!$P:$P,"&lt;&gt;Rejected")</f>
        <v/>
      </c>
      <c r="I85" s="28">
        <f>SUMIFS('Time Entries'!$L:$L,'Time Entries'!$B:$B,$B85,'Time Entries'!$F:$F,"&gt;="&amp;$D85,'Time Entries'!$F:$F,"&lt;="&amp;$E85,'Time Entries'!$P:$P,"&lt;&gt;Draft",'Time Entries'!$P:$P,"&lt;&gt;Rejected")</f>
        <v/>
      </c>
      <c r="J85" s="28">
        <f>SUMIFS('Time Entries'!$M:$M,'Time Entries'!$B:$B,$B85,'Time Entries'!$F:$F,"&gt;="&amp;$D85,'Time Entries'!$F:$F,"&lt;="&amp;$E85,'Time Entries'!$P:$P,"&lt;&gt;Draft",'Time Entries'!$P:$P,"&lt;&gt;Rejected")</f>
        <v/>
      </c>
      <c r="K85" s="28">
        <f>SUMIFS('Time Entries'!$N:$N,'Time Entries'!$B:$B,$B85,'Time Entries'!$F:$F,"&gt;="&amp;$D85,'Time Entries'!$F:$F,"&lt;="&amp;$E85,'Time Entries'!$P:$P,"&lt;&gt;Draft",'Time Entries'!$P:$P,"&lt;&gt;Rejected")</f>
        <v/>
      </c>
      <c r="L85" s="28">
        <f>I85+J85-K85</f>
        <v/>
      </c>
      <c r="M85" s="29" t="n"/>
      <c r="N85" s="29" t="n"/>
    </row>
    <row r="86">
      <c r="C86">
        <f>IFERROR(VLOOKUP(B86,Workers!$A:$H,2,FALSE),"")</f>
        <v/>
      </c>
      <c r="D86" s="25" t="n"/>
      <c r="E86" s="25" t="n"/>
      <c r="H86" s="27">
        <f>SUMIFS('Time Entries'!$J:$J,'Time Entries'!$B:$B,$B86,'Time Entries'!$F:$F,"&gt;="&amp;$D86,'Time Entries'!$F:$F,"&lt;="&amp;$E86,'Time Entries'!$P:$P,"&lt;&gt;Draft",'Time Entries'!$P:$P,"&lt;&gt;Rejected")</f>
        <v/>
      </c>
      <c r="I86" s="28">
        <f>SUMIFS('Time Entries'!$L:$L,'Time Entries'!$B:$B,$B86,'Time Entries'!$F:$F,"&gt;="&amp;$D86,'Time Entries'!$F:$F,"&lt;="&amp;$E86,'Time Entries'!$P:$P,"&lt;&gt;Draft",'Time Entries'!$P:$P,"&lt;&gt;Rejected")</f>
        <v/>
      </c>
      <c r="J86" s="28">
        <f>SUMIFS('Time Entries'!$M:$M,'Time Entries'!$B:$B,$B86,'Time Entries'!$F:$F,"&gt;="&amp;$D86,'Time Entries'!$F:$F,"&lt;="&amp;$E86,'Time Entries'!$P:$P,"&lt;&gt;Draft",'Time Entries'!$P:$P,"&lt;&gt;Rejected")</f>
        <v/>
      </c>
      <c r="K86" s="28">
        <f>SUMIFS('Time Entries'!$N:$N,'Time Entries'!$B:$B,$B86,'Time Entries'!$F:$F,"&gt;="&amp;$D86,'Time Entries'!$F:$F,"&lt;="&amp;$E86,'Time Entries'!$P:$P,"&lt;&gt;Draft",'Time Entries'!$P:$P,"&lt;&gt;Rejected")</f>
        <v/>
      </c>
      <c r="L86" s="28">
        <f>I86+J86-K86</f>
        <v/>
      </c>
      <c r="M86" s="29" t="n"/>
      <c r="N86" s="29" t="n"/>
    </row>
    <row r="87">
      <c r="C87">
        <f>IFERROR(VLOOKUP(B87,Workers!$A:$H,2,FALSE),"")</f>
        <v/>
      </c>
      <c r="D87" s="25" t="n"/>
      <c r="E87" s="25" t="n"/>
      <c r="H87" s="27">
        <f>SUMIFS('Time Entries'!$J:$J,'Time Entries'!$B:$B,$B87,'Time Entries'!$F:$F,"&gt;="&amp;$D87,'Time Entries'!$F:$F,"&lt;="&amp;$E87,'Time Entries'!$P:$P,"&lt;&gt;Draft",'Time Entries'!$P:$P,"&lt;&gt;Rejected")</f>
        <v/>
      </c>
      <c r="I87" s="28">
        <f>SUMIFS('Time Entries'!$L:$L,'Time Entries'!$B:$B,$B87,'Time Entries'!$F:$F,"&gt;="&amp;$D87,'Time Entries'!$F:$F,"&lt;="&amp;$E87,'Time Entries'!$P:$P,"&lt;&gt;Draft",'Time Entries'!$P:$P,"&lt;&gt;Rejected")</f>
        <v/>
      </c>
      <c r="J87" s="28">
        <f>SUMIFS('Time Entries'!$M:$M,'Time Entries'!$B:$B,$B87,'Time Entries'!$F:$F,"&gt;="&amp;$D87,'Time Entries'!$F:$F,"&lt;="&amp;$E87,'Time Entries'!$P:$P,"&lt;&gt;Draft",'Time Entries'!$P:$P,"&lt;&gt;Rejected")</f>
        <v/>
      </c>
      <c r="K87" s="28">
        <f>SUMIFS('Time Entries'!$N:$N,'Time Entries'!$B:$B,$B87,'Time Entries'!$F:$F,"&gt;="&amp;$D87,'Time Entries'!$F:$F,"&lt;="&amp;$E87,'Time Entries'!$P:$P,"&lt;&gt;Draft",'Time Entries'!$P:$P,"&lt;&gt;Rejected")</f>
        <v/>
      </c>
      <c r="L87" s="28">
        <f>I87+J87-K87</f>
        <v/>
      </c>
      <c r="M87" s="29" t="n"/>
      <c r="N87" s="29" t="n"/>
    </row>
    <row r="88">
      <c r="C88">
        <f>IFERROR(VLOOKUP(B88,Workers!$A:$H,2,FALSE),"")</f>
        <v/>
      </c>
      <c r="D88" s="25" t="n"/>
      <c r="E88" s="25" t="n"/>
      <c r="H88" s="27">
        <f>SUMIFS('Time Entries'!$J:$J,'Time Entries'!$B:$B,$B88,'Time Entries'!$F:$F,"&gt;="&amp;$D88,'Time Entries'!$F:$F,"&lt;="&amp;$E88,'Time Entries'!$P:$P,"&lt;&gt;Draft",'Time Entries'!$P:$P,"&lt;&gt;Rejected")</f>
        <v/>
      </c>
      <c r="I88" s="28">
        <f>SUMIFS('Time Entries'!$L:$L,'Time Entries'!$B:$B,$B88,'Time Entries'!$F:$F,"&gt;="&amp;$D88,'Time Entries'!$F:$F,"&lt;="&amp;$E88,'Time Entries'!$P:$P,"&lt;&gt;Draft",'Time Entries'!$P:$P,"&lt;&gt;Rejected")</f>
        <v/>
      </c>
      <c r="J88" s="28">
        <f>SUMIFS('Time Entries'!$M:$M,'Time Entries'!$B:$B,$B88,'Time Entries'!$F:$F,"&gt;="&amp;$D88,'Time Entries'!$F:$F,"&lt;="&amp;$E88,'Time Entries'!$P:$P,"&lt;&gt;Draft",'Time Entries'!$P:$P,"&lt;&gt;Rejected")</f>
        <v/>
      </c>
      <c r="K88" s="28">
        <f>SUMIFS('Time Entries'!$N:$N,'Time Entries'!$B:$B,$B88,'Time Entries'!$F:$F,"&gt;="&amp;$D88,'Time Entries'!$F:$F,"&lt;="&amp;$E88,'Time Entries'!$P:$P,"&lt;&gt;Draft",'Time Entries'!$P:$P,"&lt;&gt;Rejected")</f>
        <v/>
      </c>
      <c r="L88" s="28">
        <f>I88+J88-K88</f>
        <v/>
      </c>
      <c r="M88" s="29" t="n"/>
      <c r="N88" s="29" t="n"/>
    </row>
    <row r="89">
      <c r="C89">
        <f>IFERROR(VLOOKUP(B89,Workers!$A:$H,2,FALSE),"")</f>
        <v/>
      </c>
      <c r="D89" s="25" t="n"/>
      <c r="E89" s="25" t="n"/>
      <c r="H89" s="27">
        <f>SUMIFS('Time Entries'!$J:$J,'Time Entries'!$B:$B,$B89,'Time Entries'!$F:$F,"&gt;="&amp;$D89,'Time Entries'!$F:$F,"&lt;="&amp;$E89,'Time Entries'!$P:$P,"&lt;&gt;Draft",'Time Entries'!$P:$P,"&lt;&gt;Rejected")</f>
        <v/>
      </c>
      <c r="I89" s="28">
        <f>SUMIFS('Time Entries'!$L:$L,'Time Entries'!$B:$B,$B89,'Time Entries'!$F:$F,"&gt;="&amp;$D89,'Time Entries'!$F:$F,"&lt;="&amp;$E89,'Time Entries'!$P:$P,"&lt;&gt;Draft",'Time Entries'!$P:$P,"&lt;&gt;Rejected")</f>
        <v/>
      </c>
      <c r="J89" s="28">
        <f>SUMIFS('Time Entries'!$M:$M,'Time Entries'!$B:$B,$B89,'Time Entries'!$F:$F,"&gt;="&amp;$D89,'Time Entries'!$F:$F,"&lt;="&amp;$E89,'Time Entries'!$P:$P,"&lt;&gt;Draft",'Time Entries'!$P:$P,"&lt;&gt;Rejected")</f>
        <v/>
      </c>
      <c r="K89" s="28">
        <f>SUMIFS('Time Entries'!$N:$N,'Time Entries'!$B:$B,$B89,'Time Entries'!$F:$F,"&gt;="&amp;$D89,'Time Entries'!$F:$F,"&lt;="&amp;$E89,'Time Entries'!$P:$P,"&lt;&gt;Draft",'Time Entries'!$P:$P,"&lt;&gt;Rejected")</f>
        <v/>
      </c>
      <c r="L89" s="28">
        <f>I89+J89-K89</f>
        <v/>
      </c>
      <c r="M89" s="29" t="n"/>
      <c r="N89" s="29" t="n"/>
    </row>
    <row r="90">
      <c r="C90">
        <f>IFERROR(VLOOKUP(B90,Workers!$A:$H,2,FALSE),"")</f>
        <v/>
      </c>
      <c r="D90" s="25" t="n"/>
      <c r="E90" s="25" t="n"/>
      <c r="H90" s="27">
        <f>SUMIFS('Time Entries'!$J:$J,'Time Entries'!$B:$B,$B90,'Time Entries'!$F:$F,"&gt;="&amp;$D90,'Time Entries'!$F:$F,"&lt;="&amp;$E90,'Time Entries'!$P:$P,"&lt;&gt;Draft",'Time Entries'!$P:$P,"&lt;&gt;Rejected")</f>
        <v/>
      </c>
      <c r="I90" s="28">
        <f>SUMIFS('Time Entries'!$L:$L,'Time Entries'!$B:$B,$B90,'Time Entries'!$F:$F,"&gt;="&amp;$D90,'Time Entries'!$F:$F,"&lt;="&amp;$E90,'Time Entries'!$P:$P,"&lt;&gt;Draft",'Time Entries'!$P:$P,"&lt;&gt;Rejected")</f>
        <v/>
      </c>
      <c r="J90" s="28">
        <f>SUMIFS('Time Entries'!$M:$M,'Time Entries'!$B:$B,$B90,'Time Entries'!$F:$F,"&gt;="&amp;$D90,'Time Entries'!$F:$F,"&lt;="&amp;$E90,'Time Entries'!$P:$P,"&lt;&gt;Draft",'Time Entries'!$P:$P,"&lt;&gt;Rejected")</f>
        <v/>
      </c>
      <c r="K90" s="28">
        <f>SUMIFS('Time Entries'!$N:$N,'Time Entries'!$B:$B,$B90,'Time Entries'!$F:$F,"&gt;="&amp;$D90,'Time Entries'!$F:$F,"&lt;="&amp;$E90,'Time Entries'!$P:$P,"&lt;&gt;Draft",'Time Entries'!$P:$P,"&lt;&gt;Rejected")</f>
        <v/>
      </c>
      <c r="L90" s="28">
        <f>I90+J90-K90</f>
        <v/>
      </c>
      <c r="M90" s="29" t="n"/>
      <c r="N90" s="29" t="n"/>
    </row>
    <row r="91">
      <c r="C91">
        <f>IFERROR(VLOOKUP(B91,Workers!$A:$H,2,FALSE),"")</f>
        <v/>
      </c>
      <c r="D91" s="25" t="n"/>
      <c r="E91" s="25" t="n"/>
      <c r="H91" s="27">
        <f>SUMIFS('Time Entries'!$J:$J,'Time Entries'!$B:$B,$B91,'Time Entries'!$F:$F,"&gt;="&amp;$D91,'Time Entries'!$F:$F,"&lt;="&amp;$E91,'Time Entries'!$P:$P,"&lt;&gt;Draft",'Time Entries'!$P:$P,"&lt;&gt;Rejected")</f>
        <v/>
      </c>
      <c r="I91" s="28">
        <f>SUMIFS('Time Entries'!$L:$L,'Time Entries'!$B:$B,$B91,'Time Entries'!$F:$F,"&gt;="&amp;$D91,'Time Entries'!$F:$F,"&lt;="&amp;$E91,'Time Entries'!$P:$P,"&lt;&gt;Draft",'Time Entries'!$P:$P,"&lt;&gt;Rejected")</f>
        <v/>
      </c>
      <c r="J91" s="28">
        <f>SUMIFS('Time Entries'!$M:$M,'Time Entries'!$B:$B,$B91,'Time Entries'!$F:$F,"&gt;="&amp;$D91,'Time Entries'!$F:$F,"&lt;="&amp;$E91,'Time Entries'!$P:$P,"&lt;&gt;Draft",'Time Entries'!$P:$P,"&lt;&gt;Rejected")</f>
        <v/>
      </c>
      <c r="K91" s="28">
        <f>SUMIFS('Time Entries'!$N:$N,'Time Entries'!$B:$B,$B91,'Time Entries'!$F:$F,"&gt;="&amp;$D91,'Time Entries'!$F:$F,"&lt;="&amp;$E91,'Time Entries'!$P:$P,"&lt;&gt;Draft",'Time Entries'!$P:$P,"&lt;&gt;Rejected")</f>
        <v/>
      </c>
      <c r="L91" s="28">
        <f>I91+J91-K91</f>
        <v/>
      </c>
      <c r="M91" s="29" t="n"/>
      <c r="N91" s="29" t="n"/>
    </row>
    <row r="92">
      <c r="C92">
        <f>IFERROR(VLOOKUP(B92,Workers!$A:$H,2,FALSE),"")</f>
        <v/>
      </c>
      <c r="D92" s="25" t="n"/>
      <c r="E92" s="25" t="n"/>
      <c r="H92" s="27">
        <f>SUMIFS('Time Entries'!$J:$J,'Time Entries'!$B:$B,$B92,'Time Entries'!$F:$F,"&gt;="&amp;$D92,'Time Entries'!$F:$F,"&lt;="&amp;$E92,'Time Entries'!$P:$P,"&lt;&gt;Draft",'Time Entries'!$P:$P,"&lt;&gt;Rejected")</f>
        <v/>
      </c>
      <c r="I92" s="28">
        <f>SUMIFS('Time Entries'!$L:$L,'Time Entries'!$B:$B,$B92,'Time Entries'!$F:$F,"&gt;="&amp;$D92,'Time Entries'!$F:$F,"&lt;="&amp;$E92,'Time Entries'!$P:$P,"&lt;&gt;Draft",'Time Entries'!$P:$P,"&lt;&gt;Rejected")</f>
        <v/>
      </c>
      <c r="J92" s="28">
        <f>SUMIFS('Time Entries'!$M:$M,'Time Entries'!$B:$B,$B92,'Time Entries'!$F:$F,"&gt;="&amp;$D92,'Time Entries'!$F:$F,"&lt;="&amp;$E92,'Time Entries'!$P:$P,"&lt;&gt;Draft",'Time Entries'!$P:$P,"&lt;&gt;Rejected")</f>
        <v/>
      </c>
      <c r="K92" s="28">
        <f>SUMIFS('Time Entries'!$N:$N,'Time Entries'!$B:$B,$B92,'Time Entries'!$F:$F,"&gt;="&amp;$D92,'Time Entries'!$F:$F,"&lt;="&amp;$E92,'Time Entries'!$P:$P,"&lt;&gt;Draft",'Time Entries'!$P:$P,"&lt;&gt;Rejected")</f>
        <v/>
      </c>
      <c r="L92" s="28">
        <f>I92+J92-K92</f>
        <v/>
      </c>
      <c r="M92" s="29" t="n"/>
      <c r="N92" s="29" t="n"/>
    </row>
    <row r="93">
      <c r="C93">
        <f>IFERROR(VLOOKUP(B93,Workers!$A:$H,2,FALSE),"")</f>
        <v/>
      </c>
      <c r="D93" s="25" t="n"/>
      <c r="E93" s="25" t="n"/>
      <c r="H93" s="27">
        <f>SUMIFS('Time Entries'!$J:$J,'Time Entries'!$B:$B,$B93,'Time Entries'!$F:$F,"&gt;="&amp;$D93,'Time Entries'!$F:$F,"&lt;="&amp;$E93,'Time Entries'!$P:$P,"&lt;&gt;Draft",'Time Entries'!$P:$P,"&lt;&gt;Rejected")</f>
        <v/>
      </c>
      <c r="I93" s="28">
        <f>SUMIFS('Time Entries'!$L:$L,'Time Entries'!$B:$B,$B93,'Time Entries'!$F:$F,"&gt;="&amp;$D93,'Time Entries'!$F:$F,"&lt;="&amp;$E93,'Time Entries'!$P:$P,"&lt;&gt;Draft",'Time Entries'!$P:$P,"&lt;&gt;Rejected")</f>
        <v/>
      </c>
      <c r="J93" s="28">
        <f>SUMIFS('Time Entries'!$M:$M,'Time Entries'!$B:$B,$B93,'Time Entries'!$F:$F,"&gt;="&amp;$D93,'Time Entries'!$F:$F,"&lt;="&amp;$E93,'Time Entries'!$P:$P,"&lt;&gt;Draft",'Time Entries'!$P:$P,"&lt;&gt;Rejected")</f>
        <v/>
      </c>
      <c r="K93" s="28">
        <f>SUMIFS('Time Entries'!$N:$N,'Time Entries'!$B:$B,$B93,'Time Entries'!$F:$F,"&gt;="&amp;$D93,'Time Entries'!$F:$F,"&lt;="&amp;$E93,'Time Entries'!$P:$P,"&lt;&gt;Draft",'Time Entries'!$P:$P,"&lt;&gt;Rejected")</f>
        <v/>
      </c>
      <c r="L93" s="28">
        <f>I93+J93-K93</f>
        <v/>
      </c>
      <c r="M93" s="29" t="n"/>
      <c r="N93" s="29" t="n"/>
    </row>
    <row r="94">
      <c r="C94">
        <f>IFERROR(VLOOKUP(B94,Workers!$A:$H,2,FALSE),"")</f>
        <v/>
      </c>
      <c r="D94" s="25" t="n"/>
      <c r="E94" s="25" t="n"/>
      <c r="H94" s="27">
        <f>SUMIFS('Time Entries'!$J:$J,'Time Entries'!$B:$B,$B94,'Time Entries'!$F:$F,"&gt;="&amp;$D94,'Time Entries'!$F:$F,"&lt;="&amp;$E94,'Time Entries'!$P:$P,"&lt;&gt;Draft",'Time Entries'!$P:$P,"&lt;&gt;Rejected")</f>
        <v/>
      </c>
      <c r="I94" s="28">
        <f>SUMIFS('Time Entries'!$L:$L,'Time Entries'!$B:$B,$B94,'Time Entries'!$F:$F,"&gt;="&amp;$D94,'Time Entries'!$F:$F,"&lt;="&amp;$E94,'Time Entries'!$P:$P,"&lt;&gt;Draft",'Time Entries'!$P:$P,"&lt;&gt;Rejected")</f>
        <v/>
      </c>
      <c r="J94" s="28">
        <f>SUMIFS('Time Entries'!$M:$M,'Time Entries'!$B:$B,$B94,'Time Entries'!$F:$F,"&gt;="&amp;$D94,'Time Entries'!$F:$F,"&lt;="&amp;$E94,'Time Entries'!$P:$P,"&lt;&gt;Draft",'Time Entries'!$P:$P,"&lt;&gt;Rejected")</f>
        <v/>
      </c>
      <c r="K94" s="28">
        <f>SUMIFS('Time Entries'!$N:$N,'Time Entries'!$B:$B,$B94,'Time Entries'!$F:$F,"&gt;="&amp;$D94,'Time Entries'!$F:$F,"&lt;="&amp;$E94,'Time Entries'!$P:$P,"&lt;&gt;Draft",'Time Entries'!$P:$P,"&lt;&gt;Rejected")</f>
        <v/>
      </c>
      <c r="L94" s="28">
        <f>I94+J94-K94</f>
        <v/>
      </c>
      <c r="M94" s="29" t="n"/>
      <c r="N94" s="29" t="n"/>
    </row>
    <row r="95">
      <c r="C95">
        <f>IFERROR(VLOOKUP(B95,Workers!$A:$H,2,FALSE),"")</f>
        <v/>
      </c>
      <c r="D95" s="25" t="n"/>
      <c r="E95" s="25" t="n"/>
      <c r="H95" s="27">
        <f>SUMIFS('Time Entries'!$J:$J,'Time Entries'!$B:$B,$B95,'Time Entries'!$F:$F,"&gt;="&amp;$D95,'Time Entries'!$F:$F,"&lt;="&amp;$E95,'Time Entries'!$P:$P,"&lt;&gt;Draft",'Time Entries'!$P:$P,"&lt;&gt;Rejected")</f>
        <v/>
      </c>
      <c r="I95" s="28">
        <f>SUMIFS('Time Entries'!$L:$L,'Time Entries'!$B:$B,$B95,'Time Entries'!$F:$F,"&gt;="&amp;$D95,'Time Entries'!$F:$F,"&lt;="&amp;$E95,'Time Entries'!$P:$P,"&lt;&gt;Draft",'Time Entries'!$P:$P,"&lt;&gt;Rejected")</f>
        <v/>
      </c>
      <c r="J95" s="28">
        <f>SUMIFS('Time Entries'!$M:$M,'Time Entries'!$B:$B,$B95,'Time Entries'!$F:$F,"&gt;="&amp;$D95,'Time Entries'!$F:$F,"&lt;="&amp;$E95,'Time Entries'!$P:$P,"&lt;&gt;Draft",'Time Entries'!$P:$P,"&lt;&gt;Rejected")</f>
        <v/>
      </c>
      <c r="K95" s="28">
        <f>SUMIFS('Time Entries'!$N:$N,'Time Entries'!$B:$B,$B95,'Time Entries'!$F:$F,"&gt;="&amp;$D95,'Time Entries'!$F:$F,"&lt;="&amp;$E95,'Time Entries'!$P:$P,"&lt;&gt;Draft",'Time Entries'!$P:$P,"&lt;&gt;Rejected")</f>
        <v/>
      </c>
      <c r="L95" s="28">
        <f>I95+J95-K95</f>
        <v/>
      </c>
      <c r="M95" s="29" t="n"/>
      <c r="N95" s="29" t="n"/>
    </row>
    <row r="96">
      <c r="C96">
        <f>IFERROR(VLOOKUP(B96,Workers!$A:$H,2,FALSE),"")</f>
        <v/>
      </c>
      <c r="D96" s="25" t="n"/>
      <c r="E96" s="25" t="n"/>
      <c r="H96" s="27">
        <f>SUMIFS('Time Entries'!$J:$J,'Time Entries'!$B:$B,$B96,'Time Entries'!$F:$F,"&gt;="&amp;$D96,'Time Entries'!$F:$F,"&lt;="&amp;$E96,'Time Entries'!$P:$P,"&lt;&gt;Draft",'Time Entries'!$P:$P,"&lt;&gt;Rejected")</f>
        <v/>
      </c>
      <c r="I96" s="28">
        <f>SUMIFS('Time Entries'!$L:$L,'Time Entries'!$B:$B,$B96,'Time Entries'!$F:$F,"&gt;="&amp;$D96,'Time Entries'!$F:$F,"&lt;="&amp;$E96,'Time Entries'!$P:$P,"&lt;&gt;Draft",'Time Entries'!$P:$P,"&lt;&gt;Rejected")</f>
        <v/>
      </c>
      <c r="J96" s="28">
        <f>SUMIFS('Time Entries'!$M:$M,'Time Entries'!$B:$B,$B96,'Time Entries'!$F:$F,"&gt;="&amp;$D96,'Time Entries'!$F:$F,"&lt;="&amp;$E96,'Time Entries'!$P:$P,"&lt;&gt;Draft",'Time Entries'!$P:$P,"&lt;&gt;Rejected")</f>
        <v/>
      </c>
      <c r="K96" s="28">
        <f>SUMIFS('Time Entries'!$N:$N,'Time Entries'!$B:$B,$B96,'Time Entries'!$F:$F,"&gt;="&amp;$D96,'Time Entries'!$F:$F,"&lt;="&amp;$E96,'Time Entries'!$P:$P,"&lt;&gt;Draft",'Time Entries'!$P:$P,"&lt;&gt;Rejected")</f>
        <v/>
      </c>
      <c r="L96" s="28">
        <f>I96+J96-K96</f>
        <v/>
      </c>
      <c r="M96" s="29" t="n"/>
      <c r="N96" s="29" t="n"/>
    </row>
    <row r="97">
      <c r="C97">
        <f>IFERROR(VLOOKUP(B97,Workers!$A:$H,2,FALSE),"")</f>
        <v/>
      </c>
      <c r="D97" s="25" t="n"/>
      <c r="E97" s="25" t="n"/>
      <c r="H97" s="27">
        <f>SUMIFS('Time Entries'!$J:$J,'Time Entries'!$B:$B,$B97,'Time Entries'!$F:$F,"&gt;="&amp;$D97,'Time Entries'!$F:$F,"&lt;="&amp;$E97,'Time Entries'!$P:$P,"&lt;&gt;Draft",'Time Entries'!$P:$P,"&lt;&gt;Rejected")</f>
        <v/>
      </c>
      <c r="I97" s="28">
        <f>SUMIFS('Time Entries'!$L:$L,'Time Entries'!$B:$B,$B97,'Time Entries'!$F:$F,"&gt;="&amp;$D97,'Time Entries'!$F:$F,"&lt;="&amp;$E97,'Time Entries'!$P:$P,"&lt;&gt;Draft",'Time Entries'!$P:$P,"&lt;&gt;Rejected")</f>
        <v/>
      </c>
      <c r="J97" s="28">
        <f>SUMIFS('Time Entries'!$M:$M,'Time Entries'!$B:$B,$B97,'Time Entries'!$F:$F,"&gt;="&amp;$D97,'Time Entries'!$F:$F,"&lt;="&amp;$E97,'Time Entries'!$P:$P,"&lt;&gt;Draft",'Time Entries'!$P:$P,"&lt;&gt;Rejected")</f>
        <v/>
      </c>
      <c r="K97" s="28">
        <f>SUMIFS('Time Entries'!$N:$N,'Time Entries'!$B:$B,$B97,'Time Entries'!$F:$F,"&gt;="&amp;$D97,'Time Entries'!$F:$F,"&lt;="&amp;$E97,'Time Entries'!$P:$P,"&lt;&gt;Draft",'Time Entries'!$P:$P,"&lt;&gt;Rejected")</f>
        <v/>
      </c>
      <c r="L97" s="28">
        <f>I97+J97-K97</f>
        <v/>
      </c>
      <c r="M97" s="29" t="n"/>
      <c r="N97" s="29" t="n"/>
    </row>
    <row r="98">
      <c r="C98">
        <f>IFERROR(VLOOKUP(B98,Workers!$A:$H,2,FALSE),"")</f>
        <v/>
      </c>
      <c r="D98" s="25" t="n"/>
      <c r="E98" s="25" t="n"/>
      <c r="H98" s="27">
        <f>SUMIFS('Time Entries'!$J:$J,'Time Entries'!$B:$B,$B98,'Time Entries'!$F:$F,"&gt;="&amp;$D98,'Time Entries'!$F:$F,"&lt;="&amp;$E98,'Time Entries'!$P:$P,"&lt;&gt;Draft",'Time Entries'!$P:$P,"&lt;&gt;Rejected")</f>
        <v/>
      </c>
      <c r="I98" s="28">
        <f>SUMIFS('Time Entries'!$L:$L,'Time Entries'!$B:$B,$B98,'Time Entries'!$F:$F,"&gt;="&amp;$D98,'Time Entries'!$F:$F,"&lt;="&amp;$E98,'Time Entries'!$P:$P,"&lt;&gt;Draft",'Time Entries'!$P:$P,"&lt;&gt;Rejected")</f>
        <v/>
      </c>
      <c r="J98" s="28">
        <f>SUMIFS('Time Entries'!$M:$M,'Time Entries'!$B:$B,$B98,'Time Entries'!$F:$F,"&gt;="&amp;$D98,'Time Entries'!$F:$F,"&lt;="&amp;$E98,'Time Entries'!$P:$P,"&lt;&gt;Draft",'Time Entries'!$P:$P,"&lt;&gt;Rejected")</f>
        <v/>
      </c>
      <c r="K98" s="28">
        <f>SUMIFS('Time Entries'!$N:$N,'Time Entries'!$B:$B,$B98,'Time Entries'!$F:$F,"&gt;="&amp;$D98,'Time Entries'!$F:$F,"&lt;="&amp;$E98,'Time Entries'!$P:$P,"&lt;&gt;Draft",'Time Entries'!$P:$P,"&lt;&gt;Rejected")</f>
        <v/>
      </c>
      <c r="L98" s="28">
        <f>I98+J98-K98</f>
        <v/>
      </c>
      <c r="M98" s="29" t="n"/>
      <c r="N98" s="29" t="n"/>
    </row>
    <row r="99">
      <c r="C99">
        <f>IFERROR(VLOOKUP(B99,Workers!$A:$H,2,FALSE),"")</f>
        <v/>
      </c>
      <c r="D99" s="25" t="n"/>
      <c r="E99" s="25" t="n"/>
      <c r="H99" s="27">
        <f>SUMIFS('Time Entries'!$J:$J,'Time Entries'!$B:$B,$B99,'Time Entries'!$F:$F,"&gt;="&amp;$D99,'Time Entries'!$F:$F,"&lt;="&amp;$E99,'Time Entries'!$P:$P,"&lt;&gt;Draft",'Time Entries'!$P:$P,"&lt;&gt;Rejected")</f>
        <v/>
      </c>
      <c r="I99" s="28">
        <f>SUMIFS('Time Entries'!$L:$L,'Time Entries'!$B:$B,$B99,'Time Entries'!$F:$F,"&gt;="&amp;$D99,'Time Entries'!$F:$F,"&lt;="&amp;$E99,'Time Entries'!$P:$P,"&lt;&gt;Draft",'Time Entries'!$P:$P,"&lt;&gt;Rejected")</f>
        <v/>
      </c>
      <c r="J99" s="28">
        <f>SUMIFS('Time Entries'!$M:$M,'Time Entries'!$B:$B,$B99,'Time Entries'!$F:$F,"&gt;="&amp;$D99,'Time Entries'!$F:$F,"&lt;="&amp;$E99,'Time Entries'!$P:$P,"&lt;&gt;Draft",'Time Entries'!$P:$P,"&lt;&gt;Rejected")</f>
        <v/>
      </c>
      <c r="K99" s="28">
        <f>SUMIFS('Time Entries'!$N:$N,'Time Entries'!$B:$B,$B99,'Time Entries'!$F:$F,"&gt;="&amp;$D99,'Time Entries'!$F:$F,"&lt;="&amp;$E99,'Time Entries'!$P:$P,"&lt;&gt;Draft",'Time Entries'!$P:$P,"&lt;&gt;Rejected")</f>
        <v/>
      </c>
      <c r="L99" s="28">
        <f>I99+J99-K99</f>
        <v/>
      </c>
      <c r="M99" s="29" t="n"/>
      <c r="N99" s="29" t="n"/>
    </row>
    <row r="100">
      <c r="C100">
        <f>IFERROR(VLOOKUP(B100,Workers!$A:$H,2,FALSE),"")</f>
        <v/>
      </c>
      <c r="D100" s="25" t="n"/>
      <c r="E100" s="25" t="n"/>
      <c r="H100" s="27">
        <f>SUMIFS('Time Entries'!$J:$J,'Time Entries'!$B:$B,$B100,'Time Entries'!$F:$F,"&gt;="&amp;$D100,'Time Entries'!$F:$F,"&lt;="&amp;$E100,'Time Entries'!$P:$P,"&lt;&gt;Draft",'Time Entries'!$P:$P,"&lt;&gt;Rejected")</f>
        <v/>
      </c>
      <c r="I100" s="28">
        <f>SUMIFS('Time Entries'!$L:$L,'Time Entries'!$B:$B,$B100,'Time Entries'!$F:$F,"&gt;="&amp;$D100,'Time Entries'!$F:$F,"&lt;="&amp;$E100,'Time Entries'!$P:$P,"&lt;&gt;Draft",'Time Entries'!$P:$P,"&lt;&gt;Rejected")</f>
        <v/>
      </c>
      <c r="J100" s="28">
        <f>SUMIFS('Time Entries'!$M:$M,'Time Entries'!$B:$B,$B100,'Time Entries'!$F:$F,"&gt;="&amp;$D100,'Time Entries'!$F:$F,"&lt;="&amp;$E100,'Time Entries'!$P:$P,"&lt;&gt;Draft",'Time Entries'!$P:$P,"&lt;&gt;Rejected")</f>
        <v/>
      </c>
      <c r="K100" s="28">
        <f>SUMIFS('Time Entries'!$N:$N,'Time Entries'!$B:$B,$B100,'Time Entries'!$F:$F,"&gt;="&amp;$D100,'Time Entries'!$F:$F,"&lt;="&amp;$E100,'Time Entries'!$P:$P,"&lt;&gt;Draft",'Time Entries'!$P:$P,"&lt;&gt;Rejected")</f>
        <v/>
      </c>
      <c r="L100" s="28">
        <f>I100+J100-K100</f>
        <v/>
      </c>
      <c r="M100" s="29" t="n"/>
      <c r="N100" s="29" t="n"/>
    </row>
  </sheetData>
  <autoFilter ref="A1:O4"/>
  <mergeCells count="10">
    <mergeCell ref="S2:T2"/>
    <mergeCell ref="Q2:R2"/>
    <mergeCell ref="Q1:R1"/>
    <mergeCell ref="Q8:T8"/>
    <mergeCell ref="S5:T5"/>
    <mergeCell ref="Q5:R5"/>
    <mergeCell ref="S1:T1"/>
    <mergeCell ref="Q7:T7"/>
    <mergeCell ref="S4:T4"/>
    <mergeCell ref="Q4:R4"/>
  </mergeCells>
  <conditionalFormatting sqref="A2:O100">
    <cfRule type="expression" priority="1" dxfId="1">
      <formula>AND($F2="Finalized",$G2="Unpaid")</formula>
    </cfRule>
    <cfRule type="expression" priority="2" dxfId="0">
      <formula>$G2="Paid"</formula>
    </cfRule>
    <cfRule type="expression" priority="3" dxfId="2">
      <formula>$F2="Open"</formula>
    </cfRule>
  </conditionalFormatting>
  <dataValidations count="3">
    <dataValidation sqref="F2:F100" showDropDown="0" showInputMessage="0" showErrorMessage="0" allowBlank="1" errorTitle="Invalid value" error="Choose a value from Dropdown Lists." type="list">
      <formula1>'Dropdown Lists'!$D$2:$D$4</formula1>
    </dataValidation>
    <dataValidation sqref="G2:G100" showDropDown="0" showInputMessage="0" showErrorMessage="0" allowBlank="1" errorTitle="Invalid value" error="Choose a value from Dropdown Lists." type="list">
      <formula1>'Dropdown Lists'!$E$2:$E$3</formula1>
    </dataValidation>
    <dataValidation sqref="B2:B100" showDropDown="0" showInputMessage="0" showErrorMessage="0" allowBlank="1" errorTitle="Invalid value" error="Choose a value from the approved workbook range." type="list">
      <formula1>Workers!$A$2:$A$200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4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14" customWidth="1" min="10" max="10"/>
    <col width="18" customWidth="1" min="11" max="11"/>
    <col width="28" customWidth="1" min="12" max="12"/>
    <col width="34" customWidth="1" min="13" max="13"/>
  </cols>
  <sheetData>
    <row r="1">
      <c r="A1" s="30" t="inlineStr">
        <is>
          <t>CrewPay Ledger Worker Proof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Printable selected-worker proof packet. Use one Worker ID and one Pay Period ID only.</t>
        </is>
      </c>
    </row>
    <row r="3">
      <c r="A3" s="32" t="inlineStr">
        <is>
          <t>Selected Worker ID</t>
        </is>
      </c>
      <c r="B3" s="33" t="inlineStr">
        <is>
          <t>W-1001</t>
        </is>
      </c>
      <c r="D3" s="34" t="inlineStr">
        <is>
          <t>Proof Status</t>
        </is>
      </c>
      <c r="E3" s="5">
        <f>IF($B$10="OK - worker/pay period match","Ready for export","Check selector")</f>
        <v/>
      </c>
    </row>
    <row r="4">
      <c r="A4" s="35" t="inlineStr">
        <is>
          <t>Selected Pay Period ID</t>
        </is>
      </c>
      <c r="B4" s="14" t="inlineStr">
        <is>
          <t>P-4001</t>
        </is>
      </c>
      <c r="D4" s="34" t="inlineStr">
        <is>
          <t>Export Batch</t>
        </is>
      </c>
      <c r="E4" s="5">
        <f>IFERROR(INDEX('Proof Exports'!$A$2:$A$100,MATCH($B$4,'Proof Exports'!$D$2:$D$100,0)),"Not exported")</f>
        <v/>
      </c>
    </row>
    <row r="5">
      <c r="A5" s="36" t="inlineStr">
        <is>
          <t>Worker Name</t>
        </is>
      </c>
      <c r="B5" s="13">
        <f>IFERROR(VLOOKUP($B$3,Workers!$A:$H,2,FALSE),"")</f>
        <v/>
      </c>
      <c r="D5" s="34" t="inlineStr">
        <is>
          <t>Paid Date</t>
        </is>
      </c>
      <c r="E5" s="37">
        <f>IFERROR(VLOOKUP($B$4,'Pay Periods'!$A:$O,14,FALSE),"")</f>
        <v/>
      </c>
    </row>
    <row r="6">
      <c r="A6" s="35" t="inlineStr">
        <is>
          <t>Worker Status</t>
        </is>
      </c>
      <c r="B6" s="14">
        <f>IFERROR(VLOOKUP($B$3,Workers!$A:$H,5,FALSE),"")</f>
        <v/>
      </c>
      <c r="D6" s="34" t="inlineStr">
        <is>
          <t>Archive Rule</t>
        </is>
      </c>
      <c r="E6" s="5" t="inlineStr">
        <is>
          <t>Inactive workers keep historical proof.</t>
        </is>
      </c>
    </row>
    <row r="7">
      <c r="A7" s="36" t="inlineStr">
        <is>
          <t>Date Range</t>
        </is>
      </c>
      <c r="B7" s="13">
        <f>IFERROR(TEXT(VLOOKUP($B$4,'Pay Periods'!$A:$O,4,FALSE),"m/d/yyyy")&amp;" to "&amp;TEXT(VLOOKUP($B$4,'Pay Periods'!$A:$O,5,FALSE),"m/d/yyyy"),"")</f>
        <v/>
      </c>
    </row>
    <row r="8">
      <c r="A8" s="35" t="inlineStr">
        <is>
          <t>Payment Status</t>
        </is>
      </c>
      <c r="B8" s="14">
        <f>IFERROR(VLOOKUP($B$4,'Pay Periods'!$A:$O,7,FALSE),"")</f>
        <v/>
      </c>
      <c r="D8" s="4" t="inlineStr">
        <is>
          <t>Correction / Dispute Notes</t>
        </is>
      </c>
      <c r="E8" s="5" t="n"/>
      <c r="F8" s="5" t="n"/>
      <c r="G8" s="5" t="n"/>
      <c r="I8" s="9" t="inlineStr">
        <is>
          <t>Read-only Archive Note</t>
        </is>
      </c>
      <c r="J8" s="10" t="n"/>
      <c r="K8" s="10" t="n"/>
      <c r="L8" s="10" t="n"/>
      <c r="M8" s="10" t="n"/>
    </row>
    <row r="9">
      <c r="A9" s="36" t="inlineStr">
        <is>
          <t>Generated Timestamp</t>
        </is>
      </c>
      <c r="B9" s="24">
        <f>NOW()</f>
        <v/>
      </c>
      <c r="D9" s="6">
        <f>IFERROR(TEXTJOIN(CHAR(10),TRUE,FILTER('Correction Log'!$H$2:$H$100,'Correction Log'!$C$2:$C$100=$B$3,'Correction Log'!$E$2:$E$100=$B$4)),"No correction notes for selected proof.")</f>
        <v/>
      </c>
      <c r="E9" s="5" t="n"/>
      <c r="F9" s="5" t="n"/>
      <c r="G9" s="5" t="n"/>
      <c r="I9" s="11" t="inlineStr">
        <is>
          <t>Former or inactive workers can keep proof access for historical records, but should not receive new time entries.</t>
        </is>
      </c>
      <c r="J9" s="10" t="n"/>
      <c r="K9" s="10" t="n"/>
      <c r="L9" s="10" t="n"/>
      <c r="M9" s="10" t="n"/>
    </row>
    <row r="10">
      <c r="A10" s="35" t="inlineStr">
        <is>
          <t>Proof Selector Check</t>
        </is>
      </c>
      <c r="B10" s="14">
        <f>IFERROR(IF(VLOOKUP($B$4,'Pay Periods'!$A:$O,2,FALSE)=$B$3,"OK - worker/pay period match","CHECK SELECTION - pay period belongs to another worker"),"CHECK SELECTION")</f>
        <v/>
      </c>
      <c r="D10" s="5" t="n"/>
      <c r="E10" s="5" t="n"/>
      <c r="F10" s="5" t="n"/>
      <c r="G10" s="5" t="n"/>
      <c r="I10" s="10" t="n"/>
      <c r="J10" s="10" t="n"/>
      <c r="K10" s="10" t="n"/>
      <c r="L10" s="10" t="n"/>
      <c r="M10" s="10" t="n"/>
    </row>
    <row r="12">
      <c r="A12" s="38" t="inlineStr">
        <is>
          <t>Entry ID</t>
        </is>
      </c>
      <c r="B12" s="38" t="inlineStr">
        <is>
          <t>Work Date</t>
        </is>
      </c>
      <c r="C12" s="38" t="inlineStr">
        <is>
          <t>Job ID</t>
        </is>
      </c>
      <c r="D12" s="38" t="inlineStr">
        <is>
          <t>Job Name</t>
        </is>
      </c>
      <c r="E12" s="38" t="inlineStr">
        <is>
          <t>Hours</t>
        </is>
      </c>
      <c r="F12" s="38" t="inlineStr">
        <is>
          <t>Rate</t>
        </is>
      </c>
      <c r="G12" s="38" t="inlineStr">
        <is>
          <t>Gross Pay</t>
        </is>
      </c>
      <c r="H12" s="38" t="inlineStr">
        <is>
          <t>Reimbursement</t>
        </is>
      </c>
      <c r="I12" s="38" t="inlineStr">
        <is>
          <t>Deduction</t>
        </is>
      </c>
      <c r="J12" s="38" t="inlineStr">
        <is>
          <t>Net Pay</t>
        </is>
      </c>
      <c r="K12" s="38" t="inlineStr">
        <is>
          <t>Approval Status</t>
        </is>
      </c>
      <c r="L12" s="38" t="inlineStr">
        <is>
          <t>Correction Note</t>
        </is>
      </c>
      <c r="M12" s="38" t="inlineStr">
        <is>
          <t>Notes</t>
        </is>
      </c>
    </row>
    <row r="13">
      <c r="A13">
        <f>IF($B$10&lt;&gt;"OK - worker/pay period match","Check selected worker/pay period before printing proof",FILTER({'Time Entries'!A2:A200,'Time Entries'!F2:F200,'Time Entries'!D2:D200,'Time Entries'!E2:E200,'Time Entries'!J2:J200,'Time Entries'!K2:K200,'Time Entries'!L2:L200,'Time Entries'!M2:M200,'Time Entries'!N2:N200,'Time Entries'!O2:O200,'Time Entries'!P2:P200,'Time Entries'!S2:S200,'Time Entries'!T2:T200},'Time Entries'!B2:B200=$B$3,'Time Entries'!F2:F200&gt;=VLOOKUP($B$4,'Pay Periods'!$A:$O,4,FALSE),'Time Entries'!F2:F200&lt;=VLOOKUP($B$4,'Pay Periods'!$A:$O,5,FALSE)))</f>
        <v/>
      </c>
    </row>
    <row r="30">
      <c r="A30" s="39" t="inlineStr">
        <is>
          <t>Total Hours</t>
        </is>
      </c>
      <c r="B30" s="27">
        <f>IF($B$10&lt;&gt;"OK - worker/pay period match",0,SUMIFS('Time Entries'!$J:$J,'Time Entries'!$B:$B,$B$3,'Time Entries'!$F:$F,"&gt;="&amp;VLOOKUP($B$4,'Pay Periods'!$A:$O,4,FALSE),'Time Entries'!$F:$F,"&lt;="&amp;VLOOKUP($B$4,'Pay Periods'!$A:$O,5,FALSE),'Time Entries'!$P:$P,"&lt;&gt;Draft",'Time Entries'!$P:$P,"&lt;&gt;Rejected"))</f>
        <v/>
      </c>
    </row>
    <row r="31">
      <c r="A31" s="39" t="inlineStr">
        <is>
          <t>Gross Pay</t>
        </is>
      </c>
      <c r="B31" s="28">
        <f>IF($B$10&lt;&gt;"OK - worker/pay period match",0,SUMIFS('Time Entries'!$L:$L,'Time Entries'!$B:$B,$B$3,'Time Entries'!$F:$F,"&gt;="&amp;VLOOKUP($B$4,'Pay Periods'!$A:$O,4,FALSE),'Time Entries'!$F:$F,"&lt;="&amp;VLOOKUP($B$4,'Pay Periods'!$A:$O,5,FALSE),'Time Entries'!$P:$P,"&lt;&gt;Draft",'Time Entries'!$P:$P,"&lt;&gt;Rejected"))</f>
        <v/>
      </c>
    </row>
    <row r="32">
      <c r="A32" s="39" t="inlineStr">
        <is>
          <t>Reimbursements</t>
        </is>
      </c>
      <c r="B32" s="28">
        <f>IF($B$10&lt;&gt;"OK - worker/pay period match",0,SUMIFS('Time Entries'!$M:$M,'Time Entries'!$B:$B,$B$3,'Time Entries'!$F:$F,"&gt;="&amp;VLOOKUP($B$4,'Pay Periods'!$A:$O,4,FALSE),'Time Entries'!$F:$F,"&lt;="&amp;VLOOKUP($B$4,'Pay Periods'!$A:$O,5,FALSE),'Time Entries'!$P:$P,"&lt;&gt;Draft",'Time Entries'!$P:$P,"&lt;&gt;Rejected"))</f>
        <v/>
      </c>
    </row>
    <row r="33">
      <c r="A33" s="39" t="inlineStr">
        <is>
          <t>Deductions</t>
        </is>
      </c>
      <c r="B33" s="28">
        <f>IF($B$10&lt;&gt;"OK - worker/pay period match",0,SUMIFS('Time Entries'!$N:$N,'Time Entries'!$B:$B,$B$3,'Time Entries'!$F:$F,"&gt;="&amp;VLOOKUP($B$4,'Pay Periods'!$A:$O,4,FALSE),'Time Entries'!$F:$F,"&lt;="&amp;VLOOKUP($B$4,'Pay Periods'!$A:$O,5,FALSE),'Time Entries'!$P:$P,"&lt;&gt;Draft",'Time Entries'!$P:$P,"&lt;&gt;Rejected"))</f>
        <v/>
      </c>
    </row>
    <row r="34">
      <c r="A34" s="39" t="inlineStr">
        <is>
          <t>Net Pay</t>
        </is>
      </c>
      <c r="B34" s="28">
        <f>B31+B32-B33</f>
        <v/>
      </c>
    </row>
  </sheetData>
  <mergeCells count="6">
    <mergeCell ref="I9:M10"/>
    <mergeCell ref="A1:M1"/>
    <mergeCell ref="D9:G10"/>
    <mergeCell ref="D8:G8"/>
    <mergeCell ref="A2:M2"/>
    <mergeCell ref="I8:M8"/>
  </mergeCells>
  <conditionalFormatting sqref="A10:B10">
    <cfRule type="expression" priority="1" dxfId="3">
      <formula>$B$10&lt;&gt;"OK - worker/pay period match"</formula>
    </cfRule>
  </conditionalFormatting>
  <conditionalFormatting sqref="D3:E6">
    <cfRule type="expression" priority="2" dxfId="0">
      <formula>$E$3="Ready for export"</formula>
    </cfRule>
  </conditionalFormatting>
  <conditionalFormatting sqref="A13:M29">
    <cfRule type="expression" priority="3" dxfId="0">
      <formula>$K13="Paid"</formula>
    </cfRule>
    <cfRule type="expression" priority="4" dxfId="0">
      <formula>$K13="Approved"</formula>
    </cfRule>
    <cfRule type="expression" priority="5" dxfId="1">
      <formula>$K13="Submitted"</formula>
    </cfRule>
  </conditionalFormatting>
  <dataValidations count="3">
    <dataValidation sqref="B8" showDropDown="0" showInputMessage="0" showErrorMessage="0" allowBlank="1" errorTitle="Invalid value" error="Choose a value from Dropdown Lists." type="list">
      <formula1>'Dropdown Lists'!$E$2:$E$3</formula1>
    </dataValidation>
    <dataValidation sqref="B3" showDropDown="0" showInputMessage="0" showErrorMessage="0" allowBlank="0" type="list">
      <formula1>Workers!$A$2:$A$200</formula1>
    </dataValidation>
    <dataValidation sqref="B4" showDropDown="0" showInputMessage="0" showErrorMessage="0" allowBlank="0" type="list">
      <formula1>'Pay Periods'!$A$2:$A$100</formula1>
    </dataValidation>
  </dataValidations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0" customWidth="1" min="4" max="4"/>
    <col width="48" customWidth="1" min="5" max="5"/>
    <col width="14" customWidth="1" min="6" max="6"/>
    <col width="18" customWidth="1" min="7" max="7"/>
    <col width="18" customWidth="1" min="8" max="8"/>
  </cols>
  <sheetData>
    <row r="1" ht="34" customHeight="1">
      <c r="A1" s="1" t="inlineStr">
        <is>
          <t>Access Status Demo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Visual guide to future-use access versus historical proof access.</t>
        </is>
      </c>
    </row>
    <row r="4">
      <c r="A4" s="40" t="inlineStr">
        <is>
          <t>Active worker</t>
        </is>
      </c>
      <c r="B4" s="41" t="n"/>
      <c r="D4" s="42" t="inlineStr">
        <is>
          <t>Inactive worker</t>
        </is>
      </c>
      <c r="E4" s="43" t="n"/>
      <c r="G4" s="9" t="inlineStr">
        <is>
          <t>Former / read-only</t>
        </is>
      </c>
      <c r="H4" s="10" t="n"/>
    </row>
    <row r="5">
      <c r="A5" s="44" t="inlineStr">
        <is>
          <t>Can submit new time
Can appear on Schedule
Can receive admin notices</t>
        </is>
      </c>
      <c r="B5" s="41" t="n"/>
      <c r="D5" s="45" t="inlineStr">
        <is>
          <t>Cannot receive new time entries
Historical rows stay visible
Proof can still be regenerated</t>
        </is>
      </c>
      <c r="E5" s="43" t="n"/>
      <c r="G5" s="11" t="inlineStr">
        <is>
          <t>No future-use workflow
Proof archive remains available
Admin should not delete records</t>
        </is>
      </c>
      <c r="H5" s="10" t="n"/>
    </row>
    <row r="6">
      <c r="A6" s="41" t="n"/>
      <c r="B6" s="41" t="n"/>
      <c r="D6" s="43" t="n"/>
      <c r="E6" s="43" t="n"/>
      <c r="G6" s="10" t="n"/>
      <c r="H6" s="10" t="n"/>
    </row>
    <row r="7">
      <c r="A7" s="41" t="n"/>
      <c r="B7" s="41" t="n"/>
      <c r="D7" s="43" t="n"/>
      <c r="E7" s="43" t="n"/>
      <c r="G7" s="10" t="n"/>
      <c r="H7" s="10" t="n"/>
    </row>
    <row r="10">
      <c r="A10" s="12" t="inlineStr">
        <is>
          <t>Rule</t>
        </is>
      </c>
      <c r="B10" s="12" t="inlineStr">
        <is>
          <t>Active</t>
        </is>
      </c>
      <c r="C10" s="12" t="inlineStr">
        <is>
          <t>Inactive</t>
        </is>
      </c>
      <c r="D10" s="12" t="inlineStr">
        <is>
          <t>Former / Read-only</t>
        </is>
      </c>
      <c r="E10" s="12" t="inlineStr">
        <is>
          <t>Admin Note</t>
        </is>
      </c>
    </row>
    <row r="11">
      <c r="A11" s="13" t="inlineStr">
        <is>
          <t>Create new time entry</t>
        </is>
      </c>
      <c r="B11" s="13" t="inlineStr">
        <is>
          <t>Yes</t>
        </is>
      </c>
      <c r="C11" s="13" t="inlineStr">
        <is>
          <t>No</t>
        </is>
      </c>
      <c r="D11" s="13" t="inlineStr">
        <is>
          <t>No</t>
        </is>
      </c>
      <c r="E11" s="13" t="inlineStr">
        <is>
          <t>Inactive means future-use access is stopped.</t>
        </is>
      </c>
    </row>
    <row r="12">
      <c r="A12" s="14" t="inlineStr">
        <is>
          <t>View historical proof</t>
        </is>
      </c>
      <c r="B12" s="14" t="inlineStr">
        <is>
          <t>Yes</t>
        </is>
      </c>
      <c r="C12" s="14" t="inlineStr">
        <is>
          <t>Yes</t>
        </is>
      </c>
      <c r="D12" s="14" t="inlineStr">
        <is>
          <t>Yes</t>
        </is>
      </c>
      <c r="E12" s="14" t="inlineStr">
        <is>
          <t>Proof protection survives status changes.</t>
        </is>
      </c>
    </row>
    <row r="13">
      <c r="A13" s="13" t="inlineStr">
        <is>
          <t>Appear in current schedule</t>
        </is>
      </c>
      <c r="B13" s="13" t="inlineStr">
        <is>
          <t>Yes</t>
        </is>
      </c>
      <c r="C13" s="13" t="inlineStr">
        <is>
          <t>No</t>
        </is>
      </c>
      <c r="D13" s="13" t="inlineStr">
        <is>
          <t>No</t>
        </is>
      </c>
      <c r="E13" s="13" t="inlineStr">
        <is>
          <t>Schedule is planning, not proof.</t>
        </is>
      </c>
    </row>
    <row r="14">
      <c r="A14" s="14" t="inlineStr">
        <is>
          <t>Keep correction history</t>
        </is>
      </c>
      <c r="B14" s="14" t="inlineStr">
        <is>
          <t>Yes</t>
        </is>
      </c>
      <c r="C14" s="14" t="inlineStr">
        <is>
          <t>Yes</t>
        </is>
      </c>
      <c r="D14" s="14" t="inlineStr">
        <is>
          <t>Yes</t>
        </is>
      </c>
      <c r="E14" s="14" t="inlineStr">
        <is>
          <t>Corrections stay visible, not silent.</t>
        </is>
      </c>
    </row>
    <row r="17">
      <c r="A17" s="4" t="inlineStr">
        <is>
          <t>Demo takeaway</t>
        </is>
      </c>
      <c r="B17" s="5" t="n"/>
      <c r="C17" s="5" t="n"/>
      <c r="D17" s="5" t="n"/>
      <c r="E17" s="5" t="n"/>
      <c r="F17" s="5" t="n"/>
      <c r="G17" s="5" t="n"/>
    </row>
    <row r="18">
      <c r="A18" s="6" t="inlineStr">
        <is>
          <t>Admin can stop future access, but should not delete historical rows. Worker proof remains tied to workbook records.</t>
        </is>
      </c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</sheetData>
  <mergeCells count="10">
    <mergeCell ref="A4:B4"/>
    <mergeCell ref="G4:H4"/>
    <mergeCell ref="D5:E7"/>
    <mergeCell ref="A17:G17"/>
    <mergeCell ref="G5:H7"/>
    <mergeCell ref="A2:H2"/>
    <mergeCell ref="A5:B7"/>
    <mergeCell ref="D4:E4"/>
    <mergeCell ref="A1:H1"/>
    <mergeCell ref="A18:G19"/>
  </mergeCells>
  <conditionalFormatting sqref="A11:E14">
    <cfRule type="expression" priority="1" dxfId="0">
      <formula>B11="Yes"</formula>
    </cfRule>
    <cfRule type="expression" priority="2" dxfId="4">
      <formula>C11="No"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1" t="inlineStr">
        <is>
          <t>Workflow Demo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6" customHeight="1">
      <c r="A2" s="3" t="inlineStr">
        <is>
          <t>One-screen view of the CrewPay Ledger operating flow.</t>
        </is>
      </c>
    </row>
    <row r="3" ht="26" customHeight="1"/>
    <row r="4" ht="26" customHeight="1">
      <c r="A4" s="4" t="inlineStr">
        <is>
          <t>1. Worker enters time</t>
        </is>
      </c>
      <c r="B4" s="5" t="n"/>
      <c r="D4" s="4" t="inlineStr">
        <is>
          <t>2. Worker submits</t>
        </is>
      </c>
      <c r="E4" s="5" t="n"/>
      <c r="G4" s="4" t="inlineStr">
        <is>
          <t>3. Admin reviews</t>
        </is>
      </c>
      <c r="H4" s="5" t="n"/>
      <c r="J4" s="4" t="inlineStr">
        <is>
          <t>4. Approve / Reject</t>
        </is>
      </c>
      <c r="K4" s="5" t="n"/>
    </row>
    <row r="5" ht="26" customHeight="1">
      <c r="A5" s="6" t="inlineStr">
        <is>
          <t>Draft row in Time Entries</t>
        </is>
      </c>
      <c r="B5" s="5" t="n"/>
      <c r="C5" s="46" t="inlineStr">
        <is>
          <t>-&gt;</t>
        </is>
      </c>
      <c r="D5" s="6" t="inlineStr">
        <is>
          <t>Status becomes Submitted</t>
        </is>
      </c>
      <c r="E5" s="5" t="n"/>
      <c r="F5" s="46" t="inlineStr">
        <is>
          <t>-&gt;</t>
        </is>
      </c>
      <c r="G5" s="6" t="inlineStr">
        <is>
          <t>Approve, reject, or request correction</t>
        </is>
      </c>
      <c r="H5" s="5" t="n"/>
      <c r="I5" s="46" t="inlineStr">
        <is>
          <t>-&gt;</t>
        </is>
      </c>
      <c r="J5" s="6" t="inlineStr">
        <is>
          <t>Decision remains visible</t>
        </is>
      </c>
      <c r="K5" s="5" t="n"/>
    </row>
    <row r="6" ht="26" customHeight="1">
      <c r="A6" s="5" t="n"/>
      <c r="B6" s="5" t="n"/>
      <c r="D6" s="5" t="n"/>
      <c r="E6" s="5" t="n"/>
      <c r="G6" s="5" t="n"/>
      <c r="H6" s="5" t="n"/>
      <c r="J6" s="5" t="n"/>
      <c r="K6" s="5" t="n"/>
    </row>
    <row r="7" ht="26" customHeight="1">
      <c r="A7" s="5" t="n"/>
      <c r="B7" s="5" t="n"/>
      <c r="D7" s="5" t="n"/>
      <c r="E7" s="5" t="n"/>
      <c r="G7" s="5" t="n"/>
      <c r="H7" s="5" t="n"/>
      <c r="J7" s="5" t="n"/>
      <c r="K7" s="5" t="n"/>
    </row>
    <row r="8" ht="26" customHeight="1"/>
    <row r="9" ht="26" customHeight="1">
      <c r="J9" s="46" t="inlineStr">
        <is>
          <t>-&gt;</t>
        </is>
      </c>
    </row>
    <row r="10" ht="26" customHeight="1">
      <c r="A10" s="4" t="inlineStr">
        <is>
          <t>5. Pay period created</t>
        </is>
      </c>
      <c r="B10" s="5" t="n"/>
      <c r="D10" s="4" t="inlineStr">
        <is>
          <t>6. Worker Proof available</t>
        </is>
      </c>
      <c r="E10" s="5" t="n"/>
      <c r="G10" s="4" t="inlineStr">
        <is>
          <t>7. Proof exported</t>
        </is>
      </c>
      <c r="H10" s="5" t="n"/>
      <c r="J10" s="4" t="inlineStr">
        <is>
          <t>8. Read-only archive</t>
        </is>
      </c>
      <c r="K10" s="5" t="n"/>
    </row>
    <row r="11" ht="26" customHeight="1">
      <c r="A11" s="6" t="inlineStr">
        <is>
          <t>Totals summarize approved time</t>
        </is>
      </c>
      <c r="B11" s="5" t="n"/>
      <c r="C11" s="46" t="inlineStr">
        <is>
          <t>-&gt;</t>
        </is>
      </c>
      <c r="D11" s="6" t="inlineStr">
        <is>
          <t>Selected worker/pay period only</t>
        </is>
      </c>
      <c r="E11" s="5" t="n"/>
      <c r="F11" s="46" t="inlineStr">
        <is>
          <t>-&gt;</t>
        </is>
      </c>
      <c r="G11" s="6" t="inlineStr">
        <is>
          <t>PDF/CSV export logged</t>
        </is>
      </c>
      <c r="H11" s="5" t="n"/>
      <c r="I11" s="46" t="inlineStr">
        <is>
          <t>-&gt;</t>
        </is>
      </c>
      <c r="J11" s="6" t="inlineStr">
        <is>
          <t>Inactive workers keep proof history</t>
        </is>
      </c>
      <c r="K11" s="5" t="n"/>
    </row>
    <row r="12" ht="26" customHeight="1">
      <c r="A12" s="5" t="n"/>
      <c r="B12" s="5" t="n"/>
      <c r="D12" s="5" t="n"/>
      <c r="E12" s="5" t="n"/>
      <c r="G12" s="5" t="n"/>
      <c r="H12" s="5" t="n"/>
      <c r="J12" s="5" t="n"/>
      <c r="K12" s="5" t="n"/>
    </row>
    <row r="13" ht="26" customHeight="1">
      <c r="A13" s="5" t="n"/>
      <c r="B13" s="5" t="n"/>
      <c r="D13" s="5" t="n"/>
      <c r="E13" s="5" t="n"/>
      <c r="G13" s="5" t="n"/>
      <c r="H13" s="5" t="n"/>
      <c r="J13" s="5" t="n"/>
      <c r="K13" s="5" t="n"/>
    </row>
    <row r="14" ht="26" customHeight="1"/>
    <row r="15" ht="26" customHeight="1"/>
    <row r="16" ht="26" customHeight="1">
      <c r="A16" s="9" t="inlineStr">
        <is>
          <t>Source-of-truth rule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 ht="26" customHeight="1">
      <c r="A17" s="11" t="inlineStr">
        <is>
          <t>Schedule, Admin Notices, Calendar sync, and export files are helper/reference layers. Time Entries, Pay Periods, Correction Log, and Worker Proof remain the proof trail.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 ht="26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 ht="26" customHeight="1"/>
  </sheetData>
  <mergeCells count="20">
    <mergeCell ref="D10:E10"/>
    <mergeCell ref="J5:K7"/>
    <mergeCell ref="J10:K10"/>
    <mergeCell ref="A17:K18"/>
    <mergeCell ref="A2:L2"/>
    <mergeCell ref="A11:B13"/>
    <mergeCell ref="G11:H13"/>
    <mergeCell ref="G10:H10"/>
    <mergeCell ref="A16:K16"/>
    <mergeCell ref="D11:E13"/>
    <mergeCell ref="J4:K4"/>
    <mergeCell ref="J11:K13"/>
    <mergeCell ref="D4:E4"/>
    <mergeCell ref="A4:B4"/>
    <mergeCell ref="G4:H4"/>
    <mergeCell ref="D5:E7"/>
    <mergeCell ref="G5:H7"/>
    <mergeCell ref="A5:B7"/>
    <mergeCell ref="A1:L1"/>
    <mergeCell ref="A10:B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18" customWidth="1" min="6" max="6"/>
    <col width="16" customWidth="1" min="7" max="7"/>
    <col width="24" customWidth="1" min="8" max="8"/>
    <col width="44" customWidth="1" min="9" max="9"/>
  </cols>
  <sheetData>
    <row r="1">
      <c r="A1" s="12" t="inlineStr">
        <is>
          <t>Export ID</t>
        </is>
      </c>
      <c r="B1" s="12" t="inlineStr">
        <is>
          <t>Worker ID</t>
        </is>
      </c>
      <c r="C1" s="12" t="inlineStr">
        <is>
          <t>Worker Name</t>
        </is>
      </c>
      <c r="D1" s="12" t="inlineStr">
        <is>
          <t>Pay Period ID</t>
        </is>
      </c>
      <c r="E1" s="12" t="inlineStr">
        <is>
          <t>Export Type</t>
        </is>
      </c>
      <c r="F1" s="12" t="inlineStr">
        <is>
          <t>Generated At</t>
        </is>
      </c>
      <c r="G1" s="12" t="inlineStr">
        <is>
          <t>Generated By</t>
        </is>
      </c>
      <c r="H1" s="12" t="inlineStr">
        <is>
          <t>Export Reference</t>
        </is>
      </c>
      <c r="I1" s="12" t="inlineStr">
        <is>
          <t>Notes</t>
        </is>
      </c>
    </row>
    <row r="2">
      <c r="A2" s="14" t="inlineStr">
        <is>
          <t>X-5001</t>
        </is>
      </c>
      <c r="B2" s="14" t="inlineStr">
        <is>
          <t>W-1001</t>
        </is>
      </c>
      <c r="C2" s="14" t="inlineStr">
        <is>
          <t>Maya Ellis</t>
        </is>
      </c>
      <c r="D2" s="14" t="inlineStr">
        <is>
          <t>P-4001</t>
        </is>
      </c>
      <c r="E2" s="14" t="inlineStr">
        <is>
          <t>Print</t>
        </is>
      </c>
      <c r="F2" s="21" t="n">
        <v>46181.50347222222</v>
      </c>
      <c r="G2" s="14" t="inlineStr">
        <is>
          <t>Admin Demo</t>
        </is>
      </c>
      <c r="H2" s="14" t="inlineStr">
        <is>
          <t>Printed proof packet</t>
        </is>
      </c>
      <c r="I2" s="14" t="inlineStr">
        <is>
          <t>Worker-specific proof generated from workbook records.</t>
        </is>
      </c>
    </row>
    <row r="3">
      <c r="A3" s="13" t="inlineStr">
        <is>
          <t>X-5002</t>
        </is>
      </c>
      <c r="B3" s="13" t="inlineStr">
        <is>
          <t>W-1003</t>
        </is>
      </c>
      <c r="C3" s="13" t="inlineStr">
        <is>
          <t>Priya Shah</t>
        </is>
      </c>
      <c r="D3" s="13" t="inlineStr">
        <is>
          <t>P-4003</t>
        </is>
      </c>
      <c r="E3" s="13" t="inlineStr">
        <is>
          <t>CSV</t>
        </is>
      </c>
      <c r="F3" s="24" t="n">
        <v>46182.39583333334</v>
      </c>
      <c r="G3" s="13" t="inlineStr">
        <is>
          <t>Admin Demo</t>
        </is>
      </c>
      <c r="H3" s="13" t="inlineStr">
        <is>
          <t>CSV proof export</t>
        </is>
      </c>
      <c r="I3" s="13" t="inlineStr">
        <is>
          <t>Inactive worker proof regenerated after access status changed.</t>
        </is>
      </c>
    </row>
  </sheetData>
  <autoFilter ref="A1:I3"/>
  <conditionalFormatting sqref="A2:I100">
    <cfRule type="expression" priority="1" dxfId="0">
      <formula>$E2="Active"</formula>
    </cfRule>
    <cfRule type="expression" priority="2" dxfId="0">
      <formula>$E2="Approved"</formula>
    </cfRule>
    <cfRule type="expression" priority="3" dxfId="0">
      <formula>$E2="Paid"</formula>
    </cfRule>
    <cfRule type="expression" priority="4" dxfId="1">
      <formula>$E2="Submitted"</formula>
    </cfRule>
    <cfRule type="expression" priority="5" dxfId="2">
      <formula>$E2="Draft"</formula>
    </cfRule>
    <cfRule type="expression" priority="6" dxfId="2">
      <formula>$E2="Finalized"</formula>
    </cfRule>
    <cfRule type="expression" priority="7" dxfId="2">
      <formula>$E2="Posted"</formula>
    </cfRule>
    <cfRule type="expression" priority="8" dxfId="1">
      <formula>$E2="Email Ready"</formula>
    </cfRule>
    <cfRule type="expression" priority="9" dxfId="1">
      <formula>$E2="Scheduled"</formula>
    </cfRule>
    <cfRule type="expression" priority="10" dxfId="2">
      <formula>$E2="Planned"</formula>
    </cfRule>
    <cfRule type="expression" priority="11" dxfId="3">
      <formula>$E2="Rejected"</formula>
    </cfRule>
    <cfRule type="expression" priority="12" dxfId="4">
      <formula>$E2="Inactive"</formula>
    </cfRule>
    <cfRule type="expression" priority="13" dxfId="4">
      <formula>$E2="Archived"</formula>
    </cfRule>
    <cfRule type="expression" priority="14" dxfId="4">
      <formula>$E2="Closed"</formula>
    </cfRule>
    <cfRule type="expression" priority="15" dxfId="4">
      <formula>$E2="Canceled"</formula>
    </cfRule>
    <cfRule type="expression" priority="16" dxfId="4">
      <formula>$E2="Cancelled"</formula>
    </cfRule>
  </conditionalFormatting>
  <dataValidations count="3">
    <dataValidation sqref="B2:B100" showDropDown="0" showInputMessage="0" showErrorMessage="0" allowBlank="1" errorTitle="Invalid value" error="Choose a value from the approved workbook range." type="list">
      <formula1>Workers!$A$2:$A$200</formula1>
    </dataValidation>
    <dataValidation sqref="D2:D100" showDropDown="0" showInputMessage="0" showErrorMessage="0" allowBlank="1" errorTitle="Invalid value" error="Choose a value from the approved workbook range." type="list">
      <formula1>'Pay Periods'!$A$2:$A$100</formula1>
    </dataValidation>
    <dataValidation sqref="E2:E100" showDropDown="0" showInputMessage="0" showErrorMessage="0" allowBlank="1" errorTitle="Invalid value" error="Choose a value from Dropdown Lists." type="list">
      <formula1>'Dropdown Lists'!$F$2:$F$4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4" max="4"/>
    <col width="16" customWidth="1" min="5" max="5"/>
    <col width="18" customWidth="1" min="6" max="6"/>
    <col width="16" customWidth="1" min="7" max="7"/>
    <col width="46" customWidth="1" min="8" max="8"/>
  </cols>
  <sheetData>
    <row r="1">
      <c r="A1" s="12" t="inlineStr">
        <is>
          <t>Log ID</t>
        </is>
      </c>
      <c r="B1" s="12" t="inlineStr">
        <is>
          <t>Worker ID</t>
        </is>
      </c>
      <c r="C1" s="12" t="inlineStr">
        <is>
          <t>Worker Name</t>
        </is>
      </c>
      <c r="D1" s="12" t="inlineStr">
        <is>
          <t>Previous Status</t>
        </is>
      </c>
      <c r="E1" s="12" t="inlineStr">
        <is>
          <t>New Status</t>
        </is>
      </c>
      <c r="F1" s="12" t="inlineStr">
        <is>
          <t>Changed At</t>
        </is>
      </c>
      <c r="G1" s="12" t="inlineStr">
        <is>
          <t>Changed By</t>
        </is>
      </c>
      <c r="H1" s="12" t="inlineStr">
        <is>
          <t>Reason</t>
        </is>
      </c>
    </row>
    <row r="2">
      <c r="A2" s="14" t="inlineStr">
        <is>
          <t>A-6001</t>
        </is>
      </c>
      <c r="B2" s="14" t="inlineStr">
        <is>
          <t>W-1003</t>
        </is>
      </c>
      <c r="C2" s="14" t="inlineStr">
        <is>
          <t>Priya Shah</t>
        </is>
      </c>
      <c r="D2" s="14" t="inlineStr">
        <is>
          <t>Active</t>
        </is>
      </c>
      <c r="E2" s="14" t="inlineStr">
        <is>
          <t>Inactive</t>
        </is>
      </c>
      <c r="F2" s="21" t="n">
        <v>46182.33333333334</v>
      </c>
      <c r="G2" s="14" t="inlineStr">
        <is>
          <t>Admin Demo</t>
        </is>
      </c>
      <c r="H2" s="14" t="inlineStr">
        <is>
          <t>End of assignment; historical proof retained.</t>
        </is>
      </c>
    </row>
  </sheetData>
  <autoFilter ref="A1:H2"/>
  <conditionalFormatting sqref="A2:H100">
    <cfRule type="expression" priority="1" dxfId="0">
      <formula>$E2="Active"</formula>
    </cfRule>
    <cfRule type="expression" priority="2" dxfId="0">
      <formula>$E2="Approved"</formula>
    </cfRule>
    <cfRule type="expression" priority="3" dxfId="0">
      <formula>$E2="Paid"</formula>
    </cfRule>
    <cfRule type="expression" priority="4" dxfId="1">
      <formula>$E2="Submitted"</formula>
    </cfRule>
    <cfRule type="expression" priority="5" dxfId="2">
      <formula>$E2="Draft"</formula>
    </cfRule>
    <cfRule type="expression" priority="6" dxfId="2">
      <formula>$E2="Finalized"</formula>
    </cfRule>
    <cfRule type="expression" priority="7" dxfId="2">
      <formula>$E2="Posted"</formula>
    </cfRule>
    <cfRule type="expression" priority="8" dxfId="1">
      <formula>$E2="Email Ready"</formula>
    </cfRule>
    <cfRule type="expression" priority="9" dxfId="1">
      <formula>$E2="Scheduled"</formula>
    </cfRule>
    <cfRule type="expression" priority="10" dxfId="2">
      <formula>$E2="Planned"</formula>
    </cfRule>
    <cfRule type="expression" priority="11" dxfId="3">
      <formula>$E2="Rejected"</formula>
    </cfRule>
    <cfRule type="expression" priority="12" dxfId="4">
      <formula>$E2="Inactive"</formula>
    </cfRule>
    <cfRule type="expression" priority="13" dxfId="4">
      <formula>$E2="Archived"</formula>
    </cfRule>
    <cfRule type="expression" priority="14" dxfId="4">
      <formula>$E2="Closed"</formula>
    </cfRule>
    <cfRule type="expression" priority="15" dxfId="4">
      <formula>$E2="Canceled"</formula>
    </cfRule>
    <cfRule type="expression" priority="16" dxfId="4">
      <formula>$E2="Cancelled"</formula>
    </cfRule>
  </conditionalFormatting>
  <dataValidations count="2">
    <dataValidation sqref="B2:B100" showDropDown="0" showInputMessage="0" showErrorMessage="0" allowBlank="1" errorTitle="Invalid value" error="Choose a value from the approved workbook range." type="list">
      <formula1>Workers!$A$2:$A$200</formula1>
    </dataValidation>
    <dataValidation sqref="D2:E100" showDropDown="0" showInputMessage="0" showErrorMessage="0" allowBlank="1" errorTitle="Invalid value" error="Choose a value from Dropdown Lists." type="list">
      <formula1>'Dropdown Lists'!$A$2:$A$3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0" customWidth="1" min="4" max="4"/>
    <col width="15" customWidth="1" min="5" max="5"/>
    <col width="15" customWidth="1" min="6" max="6"/>
    <col width="16" customWidth="1" min="7" max="7"/>
    <col width="24" customWidth="1" min="8" max="8"/>
    <col width="24" customWidth="1" min="9" max="9"/>
    <col width="24" customWidth="1" min="10" max="10"/>
    <col width="38" customWidth="1" min="11" max="11"/>
  </cols>
  <sheetData>
    <row r="1">
      <c r="A1" s="12" t="inlineStr">
        <is>
          <t>Correction ID</t>
        </is>
      </c>
      <c r="B1" s="12" t="inlineStr">
        <is>
          <t>Entry ID</t>
        </is>
      </c>
      <c r="C1" s="12" t="inlineStr">
        <is>
          <t>Worker ID</t>
        </is>
      </c>
      <c r="D1" s="12" t="inlineStr">
        <is>
          <t>Worker Name</t>
        </is>
      </c>
      <c r="E1" s="12" t="inlineStr">
        <is>
          <t>Pay Period ID</t>
        </is>
      </c>
      <c r="F1" s="12" t="inlineStr">
        <is>
          <t>Correction Date</t>
        </is>
      </c>
      <c r="G1" s="12" t="inlineStr">
        <is>
          <t>Corrected By</t>
        </is>
      </c>
      <c r="H1" s="12" t="inlineStr">
        <is>
          <t>Correction Reason</t>
        </is>
      </c>
      <c r="I1" s="12" t="inlineStr">
        <is>
          <t>Original Value Summary</t>
        </is>
      </c>
      <c r="J1" s="12" t="inlineStr">
        <is>
          <t>New Value Summary</t>
        </is>
      </c>
      <c r="K1" s="12" t="inlineStr">
        <is>
          <t>Notes</t>
        </is>
      </c>
      <c r="L1" s="33" t="n"/>
      <c r="M1" s="47" t="inlineStr">
        <is>
          <t>Correction rule</t>
        </is>
      </c>
      <c r="N1" s="48" t="n"/>
      <c r="O1" s="48" t="n"/>
    </row>
    <row r="2">
      <c r="A2" s="14" t="inlineStr">
        <is>
          <t>C-7001</t>
        </is>
      </c>
      <c r="B2" s="14" t="inlineStr">
        <is>
          <t>T-3005</t>
        </is>
      </c>
      <c r="C2" s="14" t="inlineStr">
        <is>
          <t>W-1003</t>
        </is>
      </c>
      <c r="D2" s="14" t="inlineStr">
        <is>
          <t>Priya Shah</t>
        </is>
      </c>
      <c r="E2" s="14" t="inlineStr">
        <is>
          <t>P-4003</t>
        </is>
      </c>
      <c r="F2" s="15" t="n">
        <v>46181</v>
      </c>
      <c r="G2" s="14" t="inlineStr">
        <is>
          <t>Admin Demo</t>
        </is>
      </c>
      <c r="H2" s="14" t="inlineStr">
        <is>
          <t>Add missing reimbursement</t>
        </is>
      </c>
      <c r="I2" s="14" t="inlineStr">
        <is>
          <t>Reimbursement 0</t>
        </is>
      </c>
      <c r="J2" s="14" t="inlineStr">
        <is>
          <t>Reimbursement 15</t>
        </is>
      </c>
      <c r="K2" s="14" t="inlineStr">
        <is>
          <t>Correction visible in Time Entries and log.</t>
        </is>
      </c>
      <c r="L2" s="14" t="n"/>
      <c r="M2" s="49" t="inlineStr">
        <is>
          <t>Corrections are visible records. Do not silently overwrite proof.</t>
        </is>
      </c>
      <c r="N2" s="14" t="n"/>
      <c r="O2" s="14" t="n"/>
    </row>
    <row r="3">
      <c r="A3" s="13" t="n"/>
      <c r="B3" s="13" t="n"/>
      <c r="C3" s="13" t="n"/>
      <c r="D3" s="13" t="n"/>
      <c r="E3" s="13" t="n"/>
      <c r="F3" s="16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</sheetData>
  <autoFilter ref="A1:K2"/>
  <mergeCells count="2">
    <mergeCell ref="M1:O1"/>
    <mergeCell ref="M2:O3"/>
  </mergeCells>
  <dataValidations count="3">
    <dataValidation sqref="B2:B100" showDropDown="0" showInputMessage="0" showErrorMessage="0" allowBlank="1" errorTitle="Invalid value" error="Choose a value from the approved workbook range." type="list">
      <formula1>'Time Entries'!$A$2:$A$200</formula1>
    </dataValidation>
    <dataValidation sqref="C2:C100" showDropDown="0" showInputMessage="0" showErrorMessage="0" allowBlank="1" errorTitle="Invalid value" error="Choose a value from the approved workbook range." type="list">
      <formula1>Workers!$A$2:$A$200</formula1>
    </dataValidation>
    <dataValidation sqref="E2:E100" showDropDown="0" showInputMessage="0" showErrorMessage="0" allowBlank="1" errorTitle="Invalid value" error="Choose a value from the approved workbook range." type="list">
      <formula1>'Pay Periods'!$A$2:$A$100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12" customWidth="1" min="4" max="4"/>
    <col width="20" customWidth="1" min="5" max="5"/>
    <col width="15" customWidth="1" min="6" max="6"/>
    <col width="12" customWidth="1" min="7" max="7"/>
    <col width="12" customWidth="1" min="8" max="8"/>
    <col width="16" customWidth="1" min="9" max="9"/>
    <col width="24" customWidth="1" min="10" max="10"/>
    <col width="42" customWidth="1" min="11" max="11"/>
  </cols>
  <sheetData>
    <row r="1">
      <c r="A1" s="12" t="inlineStr">
        <is>
          <t>Schedule ID</t>
        </is>
      </c>
      <c r="B1" s="12" t="inlineStr">
        <is>
          <t>Job ID</t>
        </is>
      </c>
      <c r="C1" s="12" t="inlineStr">
        <is>
          <t>Job Name</t>
        </is>
      </c>
      <c r="D1" s="12" t="inlineStr">
        <is>
          <t>Worker ID</t>
        </is>
      </c>
      <c r="E1" s="12" t="inlineStr">
        <is>
          <t>Worker Name</t>
        </is>
      </c>
      <c r="F1" s="12" t="inlineStr">
        <is>
          <t>Scheduled Date</t>
        </is>
      </c>
      <c r="G1" s="12" t="inlineStr">
        <is>
          <t>Start Time</t>
        </is>
      </c>
      <c r="H1" s="12" t="inlineStr">
        <is>
          <t>End Time</t>
        </is>
      </c>
      <c r="I1" s="12" t="inlineStr">
        <is>
          <t>Schedule Status</t>
        </is>
      </c>
      <c r="J1" s="12" t="inlineStr">
        <is>
          <t>Calendar Event ID</t>
        </is>
      </c>
      <c r="K1" s="12" t="inlineStr">
        <is>
          <t>Notes</t>
        </is>
      </c>
      <c r="L1" s="33" t="n"/>
      <c r="M1" s="47" t="inlineStr">
        <is>
          <t>Schedule boundary</t>
        </is>
      </c>
      <c r="N1" s="48" t="n"/>
      <c r="O1" s="48" t="n"/>
    </row>
    <row r="2">
      <c r="A2" s="14" t="inlineStr">
        <is>
          <t>S-8001</t>
        </is>
      </c>
      <c r="B2" s="14" t="inlineStr">
        <is>
          <t>J-2001</t>
        </is>
      </c>
      <c r="C2" s="14" t="inlineStr">
        <is>
          <t>Oak Ridge Units</t>
        </is>
      </c>
      <c r="D2" s="14" t="inlineStr">
        <is>
          <t>W-1001</t>
        </is>
      </c>
      <c r="E2" s="14" t="inlineStr">
        <is>
          <t>Maya Ellis</t>
        </is>
      </c>
      <c r="F2" s="15" t="n">
        <v>46184</v>
      </c>
      <c r="G2" s="19" t="n">
        <v>0.3333333333333333</v>
      </c>
      <c r="H2" s="19" t="n">
        <v>0.6666666666666666</v>
      </c>
      <c r="I2" s="14" t="inlineStr">
        <is>
          <t>Scheduled</t>
        </is>
      </c>
      <c r="J2" s="14" t="inlineStr">
        <is>
          <t>cal-demo-oak-001</t>
        </is>
      </c>
      <c r="K2" s="14" t="inlineStr">
        <is>
          <t>Planning only; not proof.</t>
        </is>
      </c>
      <c r="L2" s="14" t="n"/>
      <c r="M2" s="49" t="inlineStr">
        <is>
          <t>Planning and Calendar reference only. Not proof.</t>
        </is>
      </c>
      <c r="N2" s="14" t="n"/>
      <c r="O2" s="14" t="n"/>
    </row>
    <row r="3">
      <c r="A3" s="13" t="inlineStr">
        <is>
          <t>S-8002</t>
        </is>
      </c>
      <c r="B3" s="13" t="inlineStr">
        <is>
          <t>J-2002</t>
        </is>
      </c>
      <c r="C3" s="13" t="inlineStr">
        <is>
          <t>Bluebird Cafe Refresh</t>
        </is>
      </c>
      <c r="D3" s="13" t="inlineStr">
        <is>
          <t>W-1002</t>
        </is>
      </c>
      <c r="E3" s="13" t="inlineStr">
        <is>
          <t>Leo Grant</t>
        </is>
      </c>
      <c r="F3" s="16" t="n">
        <v>46185</v>
      </c>
      <c r="G3" s="22" t="n">
        <v>0.375</v>
      </c>
      <c r="H3" s="22" t="n">
        <v>0.5416666666666666</v>
      </c>
      <c r="I3" s="13" t="inlineStr">
        <is>
          <t>Planned</t>
        </is>
      </c>
      <c r="J3" s="13" t="inlineStr"/>
      <c r="K3" s="13" t="inlineStr">
        <is>
          <t>Schedule reference only.</t>
        </is>
      </c>
      <c r="L3" s="13" t="n"/>
      <c r="M3" s="13" t="n"/>
      <c r="N3" s="13" t="n"/>
      <c r="O3" s="13" t="n"/>
    </row>
  </sheetData>
  <autoFilter ref="A1:K3"/>
  <mergeCells count="2">
    <mergeCell ref="M1:O1"/>
    <mergeCell ref="M2:O3"/>
  </mergeCells>
  <conditionalFormatting sqref="A2:K100">
    <cfRule type="expression" priority="1" dxfId="0">
      <formula>$I2="Active"</formula>
    </cfRule>
    <cfRule type="expression" priority="2" dxfId="0">
      <formula>$I2="Approved"</formula>
    </cfRule>
    <cfRule type="expression" priority="3" dxfId="0">
      <formula>$I2="Paid"</formula>
    </cfRule>
    <cfRule type="expression" priority="4" dxfId="1">
      <formula>$I2="Submitted"</formula>
    </cfRule>
    <cfRule type="expression" priority="5" dxfId="2">
      <formula>$I2="Draft"</formula>
    </cfRule>
    <cfRule type="expression" priority="6" dxfId="2">
      <formula>$I2="Finalized"</formula>
    </cfRule>
    <cfRule type="expression" priority="7" dxfId="2">
      <formula>$I2="Posted"</formula>
    </cfRule>
    <cfRule type="expression" priority="8" dxfId="1">
      <formula>$I2="Email Ready"</formula>
    </cfRule>
    <cfRule type="expression" priority="9" dxfId="1">
      <formula>$I2="Scheduled"</formula>
    </cfRule>
    <cfRule type="expression" priority="10" dxfId="2">
      <formula>$I2="Planned"</formula>
    </cfRule>
    <cfRule type="expression" priority="11" dxfId="3">
      <formula>$I2="Rejected"</formula>
    </cfRule>
    <cfRule type="expression" priority="12" dxfId="4">
      <formula>$I2="Inactive"</formula>
    </cfRule>
    <cfRule type="expression" priority="13" dxfId="4">
      <formula>$I2="Archived"</formula>
    </cfRule>
    <cfRule type="expression" priority="14" dxfId="4">
      <formula>$I2="Closed"</formula>
    </cfRule>
    <cfRule type="expression" priority="15" dxfId="4">
      <formula>$I2="Canceled"</formula>
    </cfRule>
    <cfRule type="expression" priority="16" dxfId="4">
      <formula>$I2="Cancelled"</formula>
    </cfRule>
  </conditionalFormatting>
  <dataValidations count="3">
    <dataValidation sqref="B2:B100" showDropDown="0" showInputMessage="0" showErrorMessage="0" allowBlank="1" errorTitle="Invalid value" error="Choose a value from the approved workbook range." type="list">
      <formula1>Jobs!$A$2:$A$200</formula1>
    </dataValidation>
    <dataValidation sqref="D2:D100" showDropDown="0" showInputMessage="0" showErrorMessage="0" allowBlank="1" errorTitle="Invalid value" error="Choose a value from the approved workbook range." type="list">
      <formula1>Workers!$A$2:$A$200</formula1>
    </dataValidation>
    <dataValidation sqref="I2:I100" showDropDown="0" showInputMessage="0" showErrorMessage="0" allowBlank="1" errorTitle="Invalid value" error="Choose a value from Dropdown Lists." type="list">
      <formula1>'Dropdown Lists'!$G$2:$G$5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0" customWidth="1" min="4" max="4"/>
    <col width="12" customWidth="1" min="5" max="5"/>
    <col width="20" customWidth="1" min="6" max="6"/>
    <col width="24" customWidth="1" min="7" max="7"/>
    <col width="44" customWidth="1" min="8" max="8"/>
    <col width="20" customWidth="1" min="9" max="9"/>
    <col width="16" customWidth="1" min="10" max="10"/>
    <col width="15" customWidth="1" min="11" max="11"/>
    <col width="18" customWidth="1" min="12" max="12"/>
    <col width="38" customWidth="1" min="13" max="13"/>
  </cols>
  <sheetData>
    <row r="1">
      <c r="A1" s="12" t="inlineStr">
        <is>
          <t>Notice ID</t>
        </is>
      </c>
      <c r="B1" s="12" t="inlineStr">
        <is>
          <t>Created At</t>
        </is>
      </c>
      <c r="C1" s="12" t="inlineStr">
        <is>
          <t>Created By</t>
        </is>
      </c>
      <c r="D1" s="12" t="inlineStr">
        <is>
          <t>Recipient Type</t>
        </is>
      </c>
      <c r="E1" s="12" t="inlineStr">
        <is>
          <t>Worker ID</t>
        </is>
      </c>
      <c r="F1" s="12" t="inlineStr">
        <is>
          <t>Worker Name</t>
        </is>
      </c>
      <c r="G1" s="12" t="inlineStr">
        <is>
          <t>Subject</t>
        </is>
      </c>
      <c r="H1" s="12" t="inlineStr">
        <is>
          <t>Message</t>
        </is>
      </c>
      <c r="I1" s="12" t="inlineStr">
        <is>
          <t>Related Pay Period ID</t>
        </is>
      </c>
      <c r="J1" s="12" t="inlineStr">
        <is>
          <t>Delivery Method</t>
        </is>
      </c>
      <c r="K1" s="12" t="inlineStr">
        <is>
          <t>Notice Status</t>
        </is>
      </c>
      <c r="L1" s="12" t="inlineStr">
        <is>
          <t>Sent At</t>
        </is>
      </c>
      <c r="M1" s="12" t="inlineStr">
        <is>
          <t>Notes</t>
        </is>
      </c>
      <c r="N1" s="33" t="n"/>
      <c r="O1" s="47" t="inlineStr">
        <is>
          <t>Notice boundary</t>
        </is>
      </c>
      <c r="P1" s="48" t="n"/>
      <c r="Q1" s="48" t="n"/>
    </row>
    <row r="2">
      <c r="A2" s="14" t="inlineStr">
        <is>
          <t>N-9001</t>
        </is>
      </c>
      <c r="B2" s="21" t="n">
        <v>46181.51041666666</v>
      </c>
      <c r="C2" s="14" t="inlineStr">
        <is>
          <t>Admin Demo</t>
        </is>
      </c>
      <c r="D2" s="14" t="inlineStr">
        <is>
          <t>Worker</t>
        </is>
      </c>
      <c r="E2" s="14" t="inlineStr">
        <is>
          <t>W-1001</t>
        </is>
      </c>
      <c r="F2" s="14" t="inlineStr">
        <is>
          <t>Maya Ellis</t>
        </is>
      </c>
      <c r="G2" s="14" t="inlineStr">
        <is>
          <t>Proof ready</t>
        </is>
      </c>
      <c r="H2" s="14" t="inlineStr">
        <is>
          <t>Your paid proof packet is ready in the workbook.</t>
        </is>
      </c>
      <c r="I2" s="14" t="inlineStr">
        <is>
          <t>P-4001</t>
        </is>
      </c>
      <c r="J2" s="14" t="inlineStr">
        <is>
          <t>Workbook</t>
        </is>
      </c>
      <c r="K2" s="14" t="inlineStr">
        <is>
          <t>Posted</t>
        </is>
      </c>
      <c r="L2" s="21" t="n">
        <v>46181.51041666666</v>
      </c>
      <c r="M2" s="14" t="inlineStr">
        <is>
          <t>One-way notice, not chat or proof.</t>
        </is>
      </c>
      <c r="N2" s="14" t="n"/>
      <c r="O2" s="49" t="inlineStr">
        <is>
          <t>One-way admin notices only. Not chat and not proof.</t>
        </is>
      </c>
      <c r="P2" s="14" t="n"/>
      <c r="Q2" s="14" t="n"/>
    </row>
    <row r="3">
      <c r="A3" s="13" t="inlineStr">
        <is>
          <t>N-9002</t>
        </is>
      </c>
      <c r="B3" s="24" t="n">
        <v>46182.34722222222</v>
      </c>
      <c r="C3" s="13" t="inlineStr">
        <is>
          <t>Admin Demo</t>
        </is>
      </c>
      <c r="D3" s="13" t="inlineStr">
        <is>
          <t>All Active Workers</t>
        </is>
      </c>
      <c r="E3" s="13" t="inlineStr"/>
      <c r="F3" s="13" t="inlineStr"/>
      <c r="G3" s="13" t="inlineStr">
        <is>
          <t>Schedule reminder</t>
        </is>
      </c>
      <c r="H3" s="13" t="inlineStr">
        <is>
          <t>Check the Schedule tab for upcoming planned work.</t>
        </is>
      </c>
      <c r="I3" s="13" t="inlineStr"/>
      <c r="J3" s="13" t="inlineStr">
        <is>
          <t>Email Ready</t>
        </is>
      </c>
      <c r="K3" s="13" t="inlineStr">
        <is>
          <t>Draft</t>
        </is>
      </c>
      <c r="L3" s="24" t="n"/>
      <c r="M3" s="13" t="inlineStr">
        <is>
          <t>Email-ready text only; no send automation.</t>
        </is>
      </c>
      <c r="N3" s="13" t="n"/>
      <c r="O3" s="13" t="n"/>
      <c r="P3" s="13" t="n"/>
      <c r="Q3" s="13" t="n"/>
    </row>
  </sheetData>
  <autoFilter ref="A1:M3"/>
  <mergeCells count="2">
    <mergeCell ref="O1:Q1"/>
    <mergeCell ref="O2:Q3"/>
  </mergeCells>
  <conditionalFormatting sqref="A2:M100">
    <cfRule type="expression" priority="1" dxfId="0">
      <formula>$K2="Active"</formula>
    </cfRule>
    <cfRule type="expression" priority="2" dxfId="0">
      <formula>$K2="Approved"</formula>
    </cfRule>
    <cfRule type="expression" priority="3" dxfId="0">
      <formula>$K2="Paid"</formula>
    </cfRule>
    <cfRule type="expression" priority="4" dxfId="1">
      <formula>$K2="Submitted"</formula>
    </cfRule>
    <cfRule type="expression" priority="5" dxfId="2">
      <formula>$K2="Draft"</formula>
    </cfRule>
    <cfRule type="expression" priority="6" dxfId="2">
      <formula>$K2="Finalized"</formula>
    </cfRule>
    <cfRule type="expression" priority="7" dxfId="2">
      <formula>$K2="Posted"</formula>
    </cfRule>
    <cfRule type="expression" priority="8" dxfId="1">
      <formula>$K2="Email Ready"</formula>
    </cfRule>
    <cfRule type="expression" priority="9" dxfId="1">
      <formula>$K2="Scheduled"</formula>
    </cfRule>
    <cfRule type="expression" priority="10" dxfId="2">
      <formula>$K2="Planned"</formula>
    </cfRule>
    <cfRule type="expression" priority="11" dxfId="3">
      <formula>$K2="Rejected"</formula>
    </cfRule>
    <cfRule type="expression" priority="12" dxfId="4">
      <formula>$K2="Inactive"</formula>
    </cfRule>
    <cfRule type="expression" priority="13" dxfId="4">
      <formula>$K2="Archived"</formula>
    </cfRule>
    <cfRule type="expression" priority="14" dxfId="4">
      <formula>$K2="Closed"</formula>
    </cfRule>
    <cfRule type="expression" priority="15" dxfId="4">
      <formula>$K2="Canceled"</formula>
    </cfRule>
    <cfRule type="expression" priority="16" dxfId="4">
      <formula>$K2="Cancelled"</formula>
    </cfRule>
  </conditionalFormatting>
  <dataValidations count="5">
    <dataValidation sqref="D2:D100" showDropDown="0" showInputMessage="0" showErrorMessage="0" allowBlank="1" errorTitle="Invalid value" error="Choose a value from Dropdown Lists." type="list">
      <formula1>'Dropdown Lists'!$H$2:$H$3</formula1>
    </dataValidation>
    <dataValidation sqref="E2:E100" showDropDown="0" showInputMessage="0" showErrorMessage="0" allowBlank="1" errorTitle="Invalid value" error="Choose a value from the approved workbook range." type="list">
      <formula1>Workers!$A$2:$A$200</formula1>
    </dataValidation>
    <dataValidation sqref="I2:I100" showDropDown="0" showInputMessage="0" showErrorMessage="0" allowBlank="1" errorTitle="Invalid value" error="Choose a value from the approved workbook range." type="list">
      <formula1>'Pay Periods'!$A$2:$A$100</formula1>
    </dataValidation>
    <dataValidation sqref="J2:J100" showDropDown="0" showInputMessage="0" showErrorMessage="0" allowBlank="1" errorTitle="Invalid value" error="Choose a value from Dropdown Lists." type="list">
      <formula1>'Dropdown Lists'!$I$2:$I$4</formula1>
    </dataValidation>
    <dataValidation sqref="K2:K100" showDropDown="0" showInputMessage="0" showErrorMessage="0" allowBlank="1" errorTitle="Invalid value" error="Choose a value from Dropdown Lists." type="list">
      <formula1>'Dropdown Lists'!$J$2:$J$5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2" customWidth="1" min="4" max="4"/>
    <col width="20" customWidth="1" min="5" max="5"/>
    <col width="24" customWidth="1" min="6" max="6"/>
    <col width="14" customWidth="1" min="7" max="7"/>
    <col width="16" customWidth="1" min="8" max="8"/>
    <col width="18" customWidth="1" min="9" max="9"/>
    <col width="44" customWidth="1" min="10" max="10"/>
  </cols>
  <sheetData>
    <row r="1">
      <c r="A1" s="12" t="inlineStr">
        <is>
          <t>Calendar Log ID</t>
        </is>
      </c>
      <c r="B1" s="12" t="inlineStr">
        <is>
          <t>Job ID</t>
        </is>
      </c>
      <c r="C1" s="12" t="inlineStr">
        <is>
          <t>Job Name</t>
        </is>
      </c>
      <c r="D1" s="12" t="inlineStr">
        <is>
          <t>Worker ID</t>
        </is>
      </c>
      <c r="E1" s="12" t="inlineStr">
        <is>
          <t>Worker Name</t>
        </is>
      </c>
      <c r="F1" s="12" t="inlineStr">
        <is>
          <t>Calendar Event ID</t>
        </is>
      </c>
      <c r="G1" s="12" t="inlineStr">
        <is>
          <t>Event Date</t>
        </is>
      </c>
      <c r="H1" s="12" t="inlineStr">
        <is>
          <t>Sync Status</t>
        </is>
      </c>
      <c r="I1" s="12" t="inlineStr">
        <is>
          <t>Last Synced At</t>
        </is>
      </c>
      <c r="J1" s="12" t="inlineStr">
        <is>
          <t>Notes</t>
        </is>
      </c>
      <c r="K1" s="33" t="n"/>
      <c r="L1" s="47" t="inlineStr">
        <is>
          <t>Calendar boundary</t>
        </is>
      </c>
      <c r="M1" s="48" t="n"/>
      <c r="N1" s="48" t="n"/>
    </row>
    <row r="2">
      <c r="A2" s="14" t="inlineStr">
        <is>
          <t>G-10001</t>
        </is>
      </c>
      <c r="B2" s="14" t="inlineStr">
        <is>
          <t>J-2001</t>
        </is>
      </c>
      <c r="C2" s="14" t="inlineStr">
        <is>
          <t>Oak Ridge Units</t>
        </is>
      </c>
      <c r="D2" s="14" t="inlineStr">
        <is>
          <t>W-1001</t>
        </is>
      </c>
      <c r="E2" s="14" t="inlineStr">
        <is>
          <t>Maya Ellis</t>
        </is>
      </c>
      <c r="F2" s="14" t="inlineStr">
        <is>
          <t>cal-demo-oak-001</t>
        </is>
      </c>
      <c r="G2" s="15" t="n">
        <v>46184</v>
      </c>
      <c r="H2" s="14" t="inlineStr">
        <is>
          <t>Not Synced</t>
        </is>
      </c>
      <c r="I2" s="21" t="n"/>
      <c r="J2" s="14" t="inlineStr">
        <is>
          <t>Calendar is reference only, not proof.</t>
        </is>
      </c>
      <c r="K2" s="14" t="n"/>
      <c r="L2" s="49" t="inlineStr">
        <is>
          <t>Calendar mirrors schedule references. It never creates proof.</t>
        </is>
      </c>
      <c r="M2" s="14" t="n"/>
      <c r="N2" s="14" t="n"/>
    </row>
    <row r="3">
      <c r="A3" s="13" t="n"/>
      <c r="B3" s="13" t="n"/>
      <c r="C3" s="13" t="n"/>
      <c r="D3" s="13" t="n"/>
      <c r="E3" s="13" t="n"/>
      <c r="F3" s="13" t="n"/>
      <c r="G3" s="16" t="n"/>
      <c r="H3" s="13" t="n"/>
      <c r="I3" s="24" t="n"/>
      <c r="J3" s="13" t="n"/>
      <c r="K3" s="13" t="n"/>
      <c r="L3" s="13" t="n"/>
      <c r="M3" s="13" t="n"/>
      <c r="N3" s="13" t="n"/>
    </row>
  </sheetData>
  <autoFilter ref="A1:J2"/>
  <mergeCells count="2">
    <mergeCell ref="L1:N1"/>
    <mergeCell ref="L2:N3"/>
  </mergeCells>
  <conditionalFormatting sqref="A2:J100">
    <cfRule type="expression" priority="1" dxfId="0">
      <formula>$H2="Active"</formula>
    </cfRule>
    <cfRule type="expression" priority="2" dxfId="0">
      <formula>$H2="Approved"</formula>
    </cfRule>
    <cfRule type="expression" priority="3" dxfId="0">
      <formula>$H2="Paid"</formula>
    </cfRule>
    <cfRule type="expression" priority="4" dxfId="1">
      <formula>$H2="Submitted"</formula>
    </cfRule>
    <cfRule type="expression" priority="5" dxfId="2">
      <formula>$H2="Draft"</formula>
    </cfRule>
    <cfRule type="expression" priority="6" dxfId="2">
      <formula>$H2="Finalized"</formula>
    </cfRule>
    <cfRule type="expression" priority="7" dxfId="2">
      <formula>$H2="Posted"</formula>
    </cfRule>
    <cfRule type="expression" priority="8" dxfId="1">
      <formula>$H2="Email Ready"</formula>
    </cfRule>
    <cfRule type="expression" priority="9" dxfId="1">
      <formula>$H2="Scheduled"</formula>
    </cfRule>
    <cfRule type="expression" priority="10" dxfId="2">
      <formula>$H2="Planned"</formula>
    </cfRule>
    <cfRule type="expression" priority="11" dxfId="3">
      <formula>$H2="Rejected"</formula>
    </cfRule>
    <cfRule type="expression" priority="12" dxfId="4">
      <formula>$H2="Inactive"</formula>
    </cfRule>
    <cfRule type="expression" priority="13" dxfId="4">
      <formula>$H2="Archived"</formula>
    </cfRule>
    <cfRule type="expression" priority="14" dxfId="4">
      <formula>$H2="Closed"</formula>
    </cfRule>
    <cfRule type="expression" priority="15" dxfId="4">
      <formula>$H2="Canceled"</formula>
    </cfRule>
    <cfRule type="expression" priority="16" dxfId="4">
      <formula>$H2="Cancelled"</formula>
    </cfRule>
  </conditionalFormatting>
  <dataValidations count="3">
    <dataValidation sqref="B2:B100" showDropDown="0" showInputMessage="0" showErrorMessage="0" allowBlank="1" errorTitle="Invalid value" error="Choose a value from the approved workbook range." type="list">
      <formula1>Jobs!$A$2:$A$200</formula1>
    </dataValidation>
    <dataValidation sqref="D2:D100" showDropDown="0" showInputMessage="0" showErrorMessage="0" allowBlank="1" errorTitle="Invalid value" error="Choose a value from the approved workbook range." type="list">
      <formula1>Workers!$A$2:$A$200</formula1>
    </dataValidation>
    <dataValidation sqref="H2:H100" showDropDown="0" showInputMessage="0" showErrorMessage="0" allowBlank="1" errorTitle="Invalid value" error="Choose a value from Dropdown Lists." type="list">
      <formula1>'Dropdown Lists'!$K$2:$K$5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42" customWidth="1" min="13" max="13"/>
  </cols>
  <sheetData>
    <row r="1">
      <c r="A1" s="12" t="inlineStr">
        <is>
          <t>Access Status</t>
        </is>
      </c>
      <c r="B1" s="12" t="inlineStr">
        <is>
          <t>Job Status</t>
        </is>
      </c>
      <c r="C1" s="12" t="inlineStr">
        <is>
          <t>Approval Status</t>
        </is>
      </c>
      <c r="D1" s="12" t="inlineStr">
        <is>
          <t>Pay Period Status</t>
        </is>
      </c>
      <c r="E1" s="12" t="inlineStr">
        <is>
          <t>Payment Status</t>
        </is>
      </c>
      <c r="F1" s="12" t="inlineStr">
        <is>
          <t>Export Type</t>
        </is>
      </c>
      <c r="G1" s="12" t="inlineStr">
        <is>
          <t>Schedule Status</t>
        </is>
      </c>
      <c r="H1" s="12" t="inlineStr">
        <is>
          <t>Recipient Type</t>
        </is>
      </c>
      <c r="I1" s="12" t="inlineStr">
        <is>
          <t>Delivery Method</t>
        </is>
      </c>
      <c r="J1" s="12" t="inlineStr">
        <is>
          <t>Notice Status</t>
        </is>
      </c>
      <c r="K1" s="12" t="inlineStr">
        <is>
          <t>Sync Status</t>
        </is>
      </c>
      <c r="M1" s="50" t="inlineStr">
        <is>
          <t>Demo Config</t>
        </is>
      </c>
    </row>
    <row r="2">
      <c r="A2" s="14" t="inlineStr">
        <is>
          <t>Active</t>
        </is>
      </c>
      <c r="B2" s="14" t="inlineStr">
        <is>
          <t>Active</t>
        </is>
      </c>
      <c r="C2" s="14" t="inlineStr">
        <is>
          <t>Draft</t>
        </is>
      </c>
      <c r="D2" s="14" t="inlineStr">
        <is>
          <t>Open</t>
        </is>
      </c>
      <c r="E2" s="14" t="inlineStr">
        <is>
          <t>Unpaid</t>
        </is>
      </c>
      <c r="F2" s="14" t="inlineStr">
        <is>
          <t>Print</t>
        </is>
      </c>
      <c r="G2" s="14" t="inlineStr">
        <is>
          <t>Planned</t>
        </is>
      </c>
      <c r="H2" s="14" t="inlineStr">
        <is>
          <t>Worker</t>
        </is>
      </c>
      <c r="I2" s="14" t="inlineStr">
        <is>
          <t>Workbook</t>
        </is>
      </c>
      <c r="J2" s="14" t="inlineStr">
        <is>
          <t>Draft</t>
        </is>
      </c>
      <c r="K2" s="14" t="inlineStr">
        <is>
          <t>Not Synced</t>
        </is>
      </c>
      <c r="M2" s="51" t="inlineStr">
        <is>
          <t>Support/config tab for demo dropdowns. Not part of the public workflow.</t>
        </is>
      </c>
    </row>
    <row r="3">
      <c r="A3" s="13" t="inlineStr">
        <is>
          <t>Inactive</t>
        </is>
      </c>
      <c r="B3" s="13" t="inlineStr">
        <is>
          <t>Paused</t>
        </is>
      </c>
      <c r="C3" s="13" t="inlineStr">
        <is>
          <t>Submitted</t>
        </is>
      </c>
      <c r="D3" s="13" t="inlineStr">
        <is>
          <t>Finalized</t>
        </is>
      </c>
      <c r="E3" s="13" t="inlineStr">
        <is>
          <t>Paid</t>
        </is>
      </c>
      <c r="F3" s="13" t="inlineStr">
        <is>
          <t>PDF</t>
        </is>
      </c>
      <c r="G3" s="13" t="inlineStr">
        <is>
          <t>Scheduled</t>
        </is>
      </c>
      <c r="H3" s="13" t="inlineStr">
        <is>
          <t>All Active Workers</t>
        </is>
      </c>
      <c r="I3" s="13" t="inlineStr">
        <is>
          <t>Email Ready</t>
        </is>
      </c>
      <c r="J3" s="13" t="inlineStr">
        <is>
          <t>Posted</t>
        </is>
      </c>
      <c r="K3" s="13" t="inlineStr">
        <is>
          <t>Synced</t>
        </is>
      </c>
    </row>
    <row r="4">
      <c r="A4" s="14" t="n"/>
      <c r="B4" s="14" t="inlineStr">
        <is>
          <t>Closed</t>
        </is>
      </c>
      <c r="C4" s="14" t="inlineStr">
        <is>
          <t>Approved</t>
        </is>
      </c>
      <c r="D4" s="14" t="inlineStr">
        <is>
          <t>Paid</t>
        </is>
      </c>
      <c r="E4" s="14" t="n"/>
      <c r="F4" s="14" t="inlineStr">
        <is>
          <t>CSV</t>
        </is>
      </c>
      <c r="G4" s="14" t="inlineStr">
        <is>
          <t>Completed</t>
        </is>
      </c>
      <c r="H4" s="14" t="n"/>
      <c r="I4" s="14" t="inlineStr">
        <is>
          <t>Gmail Sent</t>
        </is>
      </c>
      <c r="J4" s="14" t="inlineStr">
        <is>
          <t>Sent</t>
        </is>
      </c>
      <c r="K4" s="14" t="inlineStr">
        <is>
          <t>Failed</t>
        </is>
      </c>
    </row>
    <row r="5">
      <c r="A5" s="13" t="n"/>
      <c r="B5" s="13" t="n"/>
      <c r="C5" s="13" t="inlineStr">
        <is>
          <t>Finalized</t>
        </is>
      </c>
      <c r="D5" s="13" t="n"/>
      <c r="E5" s="13" t="n"/>
      <c r="F5" s="13" t="n"/>
      <c r="G5" s="13" t="inlineStr">
        <is>
          <t>Canceled</t>
        </is>
      </c>
      <c r="H5" s="13" t="n"/>
      <c r="I5" s="13" t="n"/>
      <c r="J5" s="13" t="inlineStr">
        <is>
          <t>Archived</t>
        </is>
      </c>
      <c r="K5" s="13" t="inlineStr">
        <is>
          <t>Skipped</t>
        </is>
      </c>
    </row>
    <row r="6">
      <c r="A6" s="14" t="n"/>
      <c r="B6" s="14" t="n"/>
      <c r="C6" s="14" t="inlineStr">
        <is>
          <t>Paid</t>
        </is>
      </c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A7" s="13" t="n"/>
      <c r="B7" s="13" t="n"/>
      <c r="C7" s="13" t="inlineStr">
        <is>
          <t>Rejected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2026-06-10T21:48:07+00:00Z</dcterms:created>
  <dcterms:modified xmlns:dcterms="http://purl.org/dc/terms/" xmlns:xsi="http://www.w3.org/2001/XMLSchema-instance" xsi:type="dcterms:W3CDTF">2026-06-10T21:48:07+00:00Z</dcterms:modified>
</cp:coreProperties>
</file>