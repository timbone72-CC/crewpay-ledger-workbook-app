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Dashboard" sheetId="2" state="visible" r:id="rId2"/>
    <sheet xmlns:r="http://schemas.openxmlformats.org/officeDocument/2006/relationships" name="Workers" sheetId="3" state="visible" r:id="rId3"/>
    <sheet xmlns:r="http://schemas.openxmlformats.org/officeDocument/2006/relationships" name="Jobs" sheetId="4" state="visible" r:id="rId4"/>
    <sheet xmlns:r="http://schemas.openxmlformats.org/officeDocument/2006/relationships" name="Time Entries" sheetId="5" state="visible" r:id="rId5"/>
    <sheet xmlns:r="http://schemas.openxmlformats.org/officeDocument/2006/relationships" name="Pay Periods" sheetId="6" state="visible" r:id="rId6"/>
    <sheet xmlns:r="http://schemas.openxmlformats.org/officeDocument/2006/relationships" name="Worker Proof" sheetId="7" state="visible" r:id="rId7"/>
    <sheet xmlns:r="http://schemas.openxmlformats.org/officeDocument/2006/relationships" name="Proof Exports" sheetId="8" state="visible" r:id="rId8"/>
    <sheet xmlns:r="http://schemas.openxmlformats.org/officeDocument/2006/relationships" name="Access Log" sheetId="9" state="visible" r:id="rId9"/>
    <sheet xmlns:r="http://schemas.openxmlformats.org/officeDocument/2006/relationships" name="Correction Log" sheetId="10" state="visible" r:id="rId10"/>
    <sheet xmlns:r="http://schemas.openxmlformats.org/officeDocument/2006/relationships" name="Schedule" sheetId="11" state="visible" r:id="rId11"/>
    <sheet xmlns:r="http://schemas.openxmlformats.org/officeDocument/2006/relationships" name="Admin Notices" sheetId="12" state="visible" r:id="rId12"/>
    <sheet xmlns:r="http://schemas.openxmlformats.org/officeDocument/2006/relationships" name="Calendar Sync Log" sheetId="13" state="visible" r:id="rId13"/>
    <sheet xmlns:r="http://schemas.openxmlformats.org/officeDocument/2006/relationships" name="Dropdown Lists" sheetId="14" state="visible" r:id="rId14"/>
  </sheets>
  <definedNames>
    <definedName name="_xlnm.Print_Titles" localSheetId="6">'Worker Proof'!$1:$12</definedName>
    <definedName name="_xlnm.Print_Area" localSheetId="6">'Worker Proof'!$A$1:$M$34</definedName>
  </definedNames>
  <calcPr calcId="124519" fullCalcOnLoad="1"/>
</workbook>
</file>

<file path=xl/styles.xml><?xml version="1.0" encoding="utf-8"?>
<styleSheet xmlns="http://schemas.openxmlformats.org/spreadsheetml/2006/main">
  <numFmts count="5">
    <numFmt numFmtId="164" formatCode="$#,##0.00"/>
    <numFmt numFmtId="165" formatCode="yyyy-mm-dd"/>
    <numFmt numFmtId="166" formatCode="m/d/yyyy"/>
    <numFmt numFmtId="167" formatCode="yyyy-mm-dd h:mm:ss"/>
    <numFmt numFmtId="168" formatCode="m/d/yyyy h:mm"/>
  </numFmts>
  <fonts count="9">
    <font>
      <name val="Calibri"/>
      <family val="2"/>
      <color theme="1"/>
      <sz val="11"/>
      <scheme val="minor"/>
    </font>
    <font>
      <b val="1"/>
      <color rgb="001F2937"/>
      <sz val="20"/>
    </font>
    <font>
      <b val="1"/>
      <color rgb="00374151"/>
      <sz val="12"/>
    </font>
    <font>
      <b val="1"/>
      <color rgb="001F2937"/>
      <sz val="18"/>
    </font>
    <font>
      <b val="1"/>
      <color rgb="00374151"/>
    </font>
    <font>
      <b val="1"/>
      <color rgb="00111827"/>
      <sz val="15"/>
    </font>
    <font>
      <b val="1"/>
      <sz val="13"/>
    </font>
    <font>
      <b val="1"/>
      <color rgb="001F2937"/>
    </font>
    <font>
      <b val="1"/>
    </font>
  </fonts>
  <fills count="4">
    <fill>
      <patternFill/>
    </fill>
    <fill>
      <patternFill patternType="gray125"/>
    </fill>
    <fill>
      <patternFill patternType="solid">
        <fgColor rgb="00EEF6FC"/>
      </patternFill>
    </fill>
    <fill>
      <patternFill patternType="solid">
        <fgColor rgb="00D9EAF7"/>
      </patternFill>
    </fill>
  </fills>
  <borders count="4">
    <border>
      <left/>
      <right/>
      <top/>
      <bottom/>
      <diagonal/>
    </border>
    <border>
      <left style="thin">
        <color rgb="00A6B7C8"/>
      </left>
      <right style="thin">
        <color rgb="00A6B7C8"/>
      </right>
      <top style="thin">
        <color rgb="00A6B7C8"/>
      </top>
      <bottom style="thin">
        <color rgb="00A6B7C8"/>
      </bottom>
    </border>
    <border>
      <bottom style="thin">
        <color rgb="009FB6C8"/>
      </bottom>
    </border>
    <border>
      <left style="thin">
        <color rgb="00D1D5DB"/>
      </left>
      <right style="thin">
        <color rgb="00D1D5DB"/>
      </right>
      <top style="thin">
        <color rgb="00D1D5DB"/>
      </top>
      <bottom style="thin">
        <color rgb="00D1D5DB"/>
      </bottom>
    </border>
  </borders>
  <cellStyleXfs count="1">
    <xf numFmtId="0" fontId="0" fillId="0" borderId="0"/>
  </cellStyleXfs>
  <cellXfs count="26">
    <xf numFmtId="0" fontId="0" fillId="0" borderId="0" pivotButton="0" quotePrefix="0" xfId="0"/>
    <xf numFmtId="0" fontId="1" fillId="2"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xf>
    <xf numFmtId="0" fontId="0" fillId="2" borderId="1" applyAlignment="1" pivotButton="0" quotePrefix="0" xfId="0">
      <alignment horizontal="center" vertical="center"/>
    </xf>
    <xf numFmtId="0" fontId="5" fillId="2" borderId="1" applyAlignment="1" pivotButton="0" quotePrefix="0" xfId="0">
      <alignment horizontal="center" vertical="center"/>
    </xf>
    <xf numFmtId="164" fontId="5" fillId="2" borderId="1" applyAlignment="1" pivotButton="0" quotePrefix="0" xfId="0">
      <alignment horizontal="center" vertical="center"/>
    </xf>
    <xf numFmtId="0" fontId="6" fillId="0" borderId="0" pivotButton="0" quotePrefix="0" xfId="0"/>
    <xf numFmtId="0" fontId="7" fillId="3" borderId="3" applyAlignment="1" pivotButton="0" quotePrefix="0" xfId="0">
      <alignment vertical="top" wrapText="1"/>
    </xf>
    <xf numFmtId="0" fontId="0" fillId="0" borderId="3" applyAlignment="1" pivotButton="0" quotePrefix="0" xfId="0">
      <alignment vertical="top" wrapText="1"/>
    </xf>
    <xf numFmtId="166" fontId="0" fillId="0" borderId="3" applyAlignment="1" pivotButton="0" quotePrefix="0" xfId="0">
      <alignment vertical="top" wrapText="1"/>
    </xf>
    <xf numFmtId="164" fontId="0" fillId="0" borderId="3" applyAlignment="1" pivotButton="0" quotePrefix="0" xfId="0">
      <alignment vertical="top" wrapText="1"/>
    </xf>
    <xf numFmtId="20" fontId="0" fillId="0" borderId="3" applyAlignment="1" pivotButton="0" quotePrefix="0" xfId="0">
      <alignment vertical="top" wrapText="1"/>
    </xf>
    <xf numFmtId="2" fontId="0" fillId="0" borderId="3" applyAlignment="1" pivotButton="0" quotePrefix="0" xfId="0">
      <alignment vertical="top" wrapText="1"/>
    </xf>
    <xf numFmtId="168" fontId="0" fillId="0" borderId="3" applyAlignment="1" pivotButton="0" quotePrefix="0" xfId="0">
      <alignment vertical="top" wrapText="1"/>
    </xf>
    <xf numFmtId="166" fontId="0" fillId="0" borderId="0" pivotButton="0" quotePrefix="0" xfId="0"/>
    <xf numFmtId="20" fontId="0" fillId="0" borderId="0" pivotButton="0" quotePrefix="0" xfId="0"/>
    <xf numFmtId="2" fontId="0" fillId="0" borderId="0" pivotButton="0" quotePrefix="0" xfId="0"/>
    <xf numFmtId="164" fontId="0" fillId="0" borderId="0" pivotButton="0" quotePrefix="0" xfId="0"/>
    <xf numFmtId="168" fontId="0" fillId="0" borderId="0" pivotButton="0" quotePrefix="0" xfId="0"/>
    <xf numFmtId="0" fontId="3" fillId="2" borderId="0" pivotButton="0" quotePrefix="0" xfId="0"/>
    <xf numFmtId="0" fontId="8" fillId="0" borderId="3" applyAlignment="1" pivotButton="0" quotePrefix="0" xfId="0">
      <alignment vertical="top" wrapText="1"/>
    </xf>
    <xf numFmtId="0" fontId="7" fillId="3" borderId="2" applyAlignment="1" pivotButton="0" quotePrefix="0" xfId="0">
      <alignment horizontal="center" vertical="center" wrapText="1"/>
    </xf>
    <xf numFmtId="0" fontId="8" fillId="0" borderId="0" pivotButton="0" quotePrefix="0" xfId="0"/>
  </cellXfs>
  <cellStyles count="1">
    <cellStyle name="Normal" xfId="0" builtinId="0" hidden="0"/>
  </cellStyles>
  <dxfs count="4">
    <dxf>
      <fill>
        <patternFill patternType="solid">
          <fgColor rgb="00FFF2CC"/>
        </patternFill>
      </fill>
    </dxf>
    <dxf>
      <fill>
        <patternFill patternType="solid">
          <fgColor rgb="00FCE7E7"/>
        </patternFill>
      </fill>
    </dxf>
    <dxf>
      <fill>
        <patternFill patternType="solid">
          <fgColor rgb="00E5E7EB"/>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s>
  <sheetData>
    <row r="1">
      <c r="A1" s="1" t="inlineStr">
        <is>
          <t>CrewPay Ledger Workbook</t>
        </is>
      </c>
    </row>
    <row r="3">
      <c r="A3" s="2" t="inlineStr">
        <is>
          <t>What this workbook does</t>
        </is>
      </c>
    </row>
    <row r="4">
      <c r="A4" s="3" t="inlineStr">
        <is>
          <t>CrewPay Ledger Level 1 is a workbook-first timesheet, pay-period, worker-proof, schedule, notice, and audit ledger.</t>
        </is>
      </c>
    </row>
    <row r="6">
      <c r="A6" s="2" t="inlineStr">
        <is>
          <t>What this workbook does not do</t>
        </is>
      </c>
    </row>
    <row r="7">
      <c r="A7" s="3" t="inlineStr">
        <is>
          <t>It does not provide backend storage, worker accounts, payroll tax logic, HR compliance logic, enterprise permissions, Apps Script, APIs, or paid services.</t>
        </is>
      </c>
    </row>
    <row r="9">
      <c r="A9" s="2" t="inlineStr">
        <is>
          <t>Source of truth</t>
        </is>
      </c>
    </row>
    <row r="10">
      <c r="A10" s="3" t="inlineStr">
        <is>
          <t>This workbook is the Level 1 source of truth. The existing local app is optional and is not required to use this ledger.</t>
        </is>
      </c>
    </row>
    <row r="12">
      <c r="A12" s="2" t="inlineStr">
        <is>
          <t>Worker proof protection</t>
        </is>
      </c>
    </row>
    <row r="13">
      <c r="A13" s="3" t="inlineStr">
        <is>
          <t>Worker Proof is selected by one worker and one pay period. Proof comes from Time Entries and Pay Periods, not schedule or notices.</t>
        </is>
      </c>
    </row>
    <row r="15">
      <c r="A15" s="2" t="inlineStr">
        <is>
          <t>Inactive workers</t>
        </is>
      </c>
    </row>
    <row r="16">
      <c r="A16" s="3" t="inlineStr">
        <is>
          <t>Inactive workers should not receive new time entries. Historical rows, pay periods, proof exports, and correction logs remain visible.</t>
        </is>
      </c>
    </row>
    <row r="18">
      <c r="A18" s="2" t="inlineStr">
        <is>
          <t>Correction notes</t>
        </is>
      </c>
    </row>
    <row r="19">
      <c r="A19" s="3" t="inlineStr">
        <is>
          <t>Corrections after finalization should be recorded visibly in Time Entries and Correction Log. Do not silently overwrite proof.</t>
        </is>
      </c>
    </row>
    <row r="21">
      <c r="A21" s="2" t="inlineStr">
        <is>
          <t>Schedule and Calendar</t>
        </is>
      </c>
    </row>
    <row r="22">
      <c r="A22" s="3" t="inlineStr">
        <is>
          <t>Schedule is planning only. Future Google Calendar sync may mirror schedules, but calendar rows are not proof.</t>
        </is>
      </c>
    </row>
    <row r="24">
      <c r="A24" s="2" t="inlineStr">
        <is>
          <t>Admin Notices</t>
        </is>
      </c>
    </row>
    <row r="25">
      <c r="A25" s="3" t="inlineStr">
        <is>
          <t>Admin Notices are one-way admin notices. They are not chat, worker-to-worker messaging, or proof.</t>
        </is>
      </c>
    </row>
    <row r="27">
      <c r="A27" s="2" t="inlineStr">
        <is>
          <t>Level 1.5 readiness</t>
        </is>
      </c>
    </row>
    <row r="28">
      <c r="A28" s="3" t="inlineStr">
        <is>
          <t>Future free Apps Script helpers may add menus, proof exports, notice drafts, calendar sync logs, and access logs without restructuring the workbook.</t>
        </is>
      </c>
    </row>
    <row r="30">
      <c r="A30" s="2" t="inlineStr">
        <is>
          <t>Manual-first rule</t>
        </is>
      </c>
    </row>
    <row r="31">
      <c r="A31" s="3" t="inlineStr">
        <is>
          <t>The workbook must remain usable manually. Any future script helper should write back to the Proof Exports, Access Log, Correction Log, or Calendar Sync Log tabs instead of becoming the source of truth.</t>
        </is>
      </c>
    </row>
  </sheetData>
  <mergeCells count="11">
    <mergeCell ref="A16:F16"/>
    <mergeCell ref="A10:F10"/>
    <mergeCell ref="A28:F28"/>
    <mergeCell ref="A13:F13"/>
    <mergeCell ref="A19:F19"/>
    <mergeCell ref="A1:F1"/>
    <mergeCell ref="A31:F31"/>
    <mergeCell ref="A22:F22"/>
    <mergeCell ref="A4:F4"/>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6" customWidth="1" min="1" max="1"/>
    <col width="14" customWidth="1" min="2" max="2"/>
    <col width="24" customWidth="1" min="3" max="3"/>
    <col width="14" customWidth="1" min="4" max="4"/>
    <col width="22" customWidth="1" min="5" max="5"/>
    <col width="14" customWidth="1" min="6" max="6"/>
    <col width="28" customWidth="1" min="7" max="7"/>
    <col width="14" customWidth="1" min="8" max="8"/>
  </cols>
  <sheetData>
    <row r="1">
      <c r="A1" s="4" t="inlineStr">
        <is>
          <t>CrewPay Ledger Dashboard</t>
        </is>
      </c>
    </row>
    <row r="2">
      <c r="A2" t="inlineStr">
        <is>
          <t>Workbook-first Level 1 source-of-truth view</t>
        </is>
      </c>
    </row>
    <row r="4">
      <c r="A4" s="5" t="inlineStr">
        <is>
          <t>Active workers</t>
        </is>
      </c>
      <c r="B4" s="6" t="n"/>
      <c r="C4" s="5" t="inlineStr">
        <is>
          <t>Inactive workers</t>
        </is>
      </c>
      <c r="D4" s="6" t="n"/>
      <c r="E4" s="5" t="inlineStr">
        <is>
          <t>Pending entries</t>
        </is>
      </c>
      <c r="F4" s="6" t="n"/>
      <c r="G4" s="5" t="inlineStr">
        <is>
          <t>Current pay period totals</t>
        </is>
      </c>
      <c r="H4" s="6" t="n"/>
    </row>
    <row r="5">
      <c r="A5" s="7">
        <f>COUNTIF(Workers!$E$2:$E$200,"Active")</f>
        <v/>
      </c>
      <c r="B5" s="6" t="n"/>
      <c r="C5" s="7">
        <f>COUNTIF(Workers!$E$2:$E$200,"Inactive")</f>
        <v/>
      </c>
      <c r="D5" s="6" t="n"/>
      <c r="E5" s="7">
        <f>COUNTIF('Time Entries'!$P$2:$P$200,"Submitted")</f>
        <v/>
      </c>
      <c r="F5" s="6" t="n"/>
      <c r="G5" s="8">
        <f>SUMIFS('Pay Periods'!$L$2:$L$100,'Pay Periods'!$F$2:$F$100,"&lt;&gt;Paid")</f>
        <v/>
      </c>
      <c r="H5" s="6" t="n"/>
    </row>
    <row r="7">
      <c r="A7" s="5" t="inlineStr">
        <is>
          <t>Unpaid finalized pay periods</t>
        </is>
      </c>
      <c r="B7" s="6" t="n"/>
      <c r="C7" s="5" t="inlineStr">
        <is>
          <t>Posted/sent admin notices</t>
        </is>
      </c>
      <c r="D7" s="6" t="n"/>
    </row>
    <row r="8">
      <c r="A8" s="7">
        <f>COUNTIFS('Pay Periods'!$F$2:$F$100,"Finalized",'Pay Periods'!$G$2:$G$100,"Unpaid")</f>
        <v/>
      </c>
      <c r="B8" s="6" t="n"/>
      <c r="C8" s="7">
        <f>COUNTIF('Admin Notices'!$K$2:$K$100,"Posted")+COUNTIF('Admin Notices'!$K$2:$K$100,"Sent")</f>
        <v/>
      </c>
      <c r="D8" s="6" t="n"/>
    </row>
    <row r="11">
      <c r="A11" s="9" t="inlineStr">
        <is>
          <t>Workbook rules</t>
        </is>
      </c>
    </row>
    <row r="12">
      <c r="A12" t="inlineStr">
        <is>
          <t>Workbook is the Level 1 ledger/source of truth.</t>
        </is>
      </c>
    </row>
    <row r="13">
      <c r="A13" t="inlineStr">
        <is>
          <t>Worker Proof is one worker and one pay period only.</t>
        </is>
      </c>
    </row>
    <row r="14">
      <c r="A14" t="inlineStr">
        <is>
          <t>Schedule and Calendar Sync Log are planning/reference only, not proof.</t>
        </is>
      </c>
    </row>
    <row r="15">
      <c r="A15" t="inlineStr">
        <is>
          <t>Admin Notices are one-way notices only, not chat or proof.</t>
        </is>
      </c>
    </row>
  </sheetData>
  <mergeCells count="12">
    <mergeCell ref="A4:B4"/>
    <mergeCell ref="G4:H4"/>
    <mergeCell ref="E4:F4"/>
    <mergeCell ref="C7:D7"/>
    <mergeCell ref="A7:B7"/>
    <mergeCell ref="C5:D5"/>
    <mergeCell ref="A5:B5"/>
    <mergeCell ref="G5:H5"/>
    <mergeCell ref="E5:F5"/>
    <mergeCell ref="A8:B8"/>
    <mergeCell ref="C8:D8"/>
    <mergeCell ref="C4:D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28" customWidth="1" min="3" max="3"/>
    <col width="16" customWidth="1" min="4" max="4"/>
    <col width="16" customWidth="1" min="5" max="5"/>
    <col width="14" customWidth="1" min="6" max="6"/>
    <col width="14" customWidth="1" min="7" max="7"/>
    <col width="42" customWidth="1" min="8" max="8"/>
  </cols>
  <sheetData>
    <row r="1">
      <c r="A1" s="10" t="inlineStr">
        <is>
          <t>Worker ID</t>
        </is>
      </c>
      <c r="B1" s="10" t="inlineStr">
        <is>
          <t>Worker Name</t>
        </is>
      </c>
      <c r="C1" s="10" t="inlineStr">
        <is>
          <t>Worker Email</t>
        </is>
      </c>
      <c r="D1" s="10" t="inlineStr">
        <is>
          <t>Role</t>
        </is>
      </c>
      <c r="E1" s="10" t="inlineStr">
        <is>
          <t>Access Status</t>
        </is>
      </c>
      <c r="F1" s="10" t="inlineStr">
        <is>
          <t>Created At</t>
        </is>
      </c>
      <c r="G1" s="10" t="inlineStr">
        <is>
          <t>Inactive At</t>
        </is>
      </c>
      <c r="H1" s="10" t="inlineStr">
        <is>
          <t>Notes</t>
        </is>
      </c>
    </row>
    <row r="2">
      <c r="A2" s="11" t="inlineStr">
        <is>
          <t>W-1001</t>
        </is>
      </c>
      <c r="B2" s="11" t="inlineStr">
        <is>
          <t>Maya Ellis</t>
        </is>
      </c>
      <c r="C2" s="11" t="inlineStr">
        <is>
          <t>maya.ellis@example.local</t>
        </is>
      </c>
      <c r="D2" s="11" t="inlineStr">
        <is>
          <t>Crew Lead</t>
        </is>
      </c>
      <c r="E2" s="11" t="inlineStr">
        <is>
          <t>Active</t>
        </is>
      </c>
      <c r="F2" s="12" t="n">
        <v>46174</v>
      </c>
      <c r="G2" s="12" t="n"/>
      <c r="H2" s="11" t="inlineStr">
        <is>
          <t>Active worker for current entries.</t>
        </is>
      </c>
    </row>
    <row r="3">
      <c r="A3" s="11" t="inlineStr">
        <is>
          <t>W-1002</t>
        </is>
      </c>
      <c r="B3" s="11" t="inlineStr">
        <is>
          <t>Leo Grant</t>
        </is>
      </c>
      <c r="C3" s="11" t="inlineStr">
        <is>
          <t>leo.grant@example.local</t>
        </is>
      </c>
      <c r="D3" s="11" t="inlineStr">
        <is>
          <t>Installer</t>
        </is>
      </c>
      <c r="E3" s="11" t="inlineStr">
        <is>
          <t>Active</t>
        </is>
      </c>
      <c r="F3" s="12" t="n">
        <v>46174</v>
      </c>
      <c r="G3" s="12" t="n"/>
      <c r="H3" s="11" t="inlineStr">
        <is>
          <t>Active worker with pending approval.</t>
        </is>
      </c>
    </row>
    <row r="4">
      <c r="A4" s="11" t="inlineStr">
        <is>
          <t>W-1003</t>
        </is>
      </c>
      <c r="B4" s="11" t="inlineStr">
        <is>
          <t>Priya Shah</t>
        </is>
      </c>
      <c r="C4" s="11" t="inlineStr">
        <is>
          <t>priya.shah@example.local</t>
        </is>
      </c>
      <c r="D4" s="11" t="inlineStr">
        <is>
          <t>Helper</t>
        </is>
      </c>
      <c r="E4" s="11" t="inlineStr">
        <is>
          <t>Inactive</t>
        </is>
      </c>
      <c r="F4" s="12" t="n">
        <v>46157</v>
      </c>
      <c r="G4" s="12" t="n">
        <v>46182</v>
      </c>
      <c r="H4" s="11" t="inlineStr">
        <is>
          <t>Inactive worker with historical proof records.</t>
        </is>
      </c>
    </row>
  </sheetData>
  <dataValidations count="1">
    <dataValidation sqref="E2:E200" showDropDown="0" showInputMessage="0" showErrorMessage="0" allowBlank="1" errorTitle="Invalid value" error="Choose a value from Dropdown Lists." type="list">
      <formula1>'Dropdown Lists'!$A$2:$A$3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4" customWidth="1" min="3" max="3"/>
    <col width="14" customWidth="1" min="4" max="4"/>
    <col width="14" customWidth="1" min="5" max="5"/>
    <col width="24" customWidth="1" min="6" max="6"/>
    <col width="40" customWidth="1" min="7" max="7"/>
  </cols>
  <sheetData>
    <row r="1">
      <c r="A1" s="10" t="inlineStr">
        <is>
          <t>Job ID</t>
        </is>
      </c>
      <c r="B1" s="10" t="inlineStr">
        <is>
          <t>Job Name</t>
        </is>
      </c>
      <c r="C1" s="10" t="inlineStr">
        <is>
          <t>Client or Site</t>
        </is>
      </c>
      <c r="D1" s="10" t="inlineStr">
        <is>
          <t>Status</t>
        </is>
      </c>
      <c r="E1" s="10" t="inlineStr">
        <is>
          <t>Default Rate</t>
        </is>
      </c>
      <c r="F1" s="10" t="inlineStr">
        <is>
          <t>Calendar Event ID</t>
        </is>
      </c>
      <c r="G1" s="10" t="inlineStr">
        <is>
          <t>Notes</t>
        </is>
      </c>
    </row>
    <row r="2">
      <c r="A2" s="11" t="inlineStr">
        <is>
          <t>J-2001</t>
        </is>
      </c>
      <c r="B2" s="11" t="inlineStr">
        <is>
          <t>Oak Ridge Units</t>
        </is>
      </c>
      <c r="C2" s="11" t="inlineStr">
        <is>
          <t>Oak Ridge Apartments</t>
        </is>
      </c>
      <c r="D2" s="11" t="inlineStr">
        <is>
          <t>Active</t>
        </is>
      </c>
      <c r="E2" s="13" t="n">
        <v>32</v>
      </c>
      <c r="F2" s="11" t="inlineStr"/>
      <c r="G2" s="11" t="inlineStr">
        <is>
          <t>Apartment unit prep and repairs.</t>
        </is>
      </c>
    </row>
    <row r="3">
      <c r="A3" s="11" t="inlineStr">
        <is>
          <t>J-2002</t>
        </is>
      </c>
      <c r="B3" s="11" t="inlineStr">
        <is>
          <t>Bluebird Cafe Refresh</t>
        </is>
      </c>
      <c r="C3" s="11" t="inlineStr">
        <is>
          <t>Bluebird Cafe</t>
        </is>
      </c>
      <c r="D3" s="11" t="inlineStr">
        <is>
          <t>Active</t>
        </is>
      </c>
      <c r="E3" s="13" t="n">
        <v>30</v>
      </c>
      <c r="F3" s="11" t="inlineStr"/>
      <c r="G3" s="11" t="inlineStr">
        <is>
          <t>Cafe refresh punch list.</t>
        </is>
      </c>
    </row>
    <row r="4">
      <c r="A4" s="11" t="inlineStr">
        <is>
          <t>J-2003</t>
        </is>
      </c>
      <c r="B4" s="11" t="inlineStr">
        <is>
          <t>Cedar Lane Repairs</t>
        </is>
      </c>
      <c r="C4" s="11" t="inlineStr">
        <is>
          <t>Cedar Lane Rentals</t>
        </is>
      </c>
      <c r="D4" s="11" t="inlineStr">
        <is>
          <t>Closed</t>
        </is>
      </c>
      <c r="E4" s="13" t="n">
        <v>24</v>
      </c>
      <c r="F4" s="11" t="inlineStr">
        <is>
          <t>cal-demo-cedar-001</t>
        </is>
      </c>
      <c r="G4" s="11" t="inlineStr">
        <is>
          <t>Closed job retained for proof history.</t>
        </is>
      </c>
    </row>
  </sheetData>
  <dataValidations count="1">
    <dataValidation sqref="D2:D200" showDropDown="0" showInputMessage="0" showErrorMessage="0" allowBlank="1" errorTitle="Invalid value" error="Choose a value from Dropdown Lists." type="list">
      <formula1>'Dropdown Lists'!$B$2:$B$4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2" customWidth="1" min="4" max="4"/>
    <col width="24" customWidth="1" min="5" max="5"/>
    <col width="13" customWidth="1" min="6" max="6"/>
    <col width="12" customWidth="1" min="7" max="7"/>
    <col width="12" customWidth="1" min="8" max="8"/>
    <col width="14" customWidth="1" min="9" max="9"/>
    <col width="12" customWidth="1" min="10" max="10"/>
    <col width="12" customWidth="1" min="11" max="11"/>
    <col width="14" customWidth="1" min="12" max="12"/>
    <col width="15" customWidth="1" min="13" max="13"/>
    <col width="12" customWidth="1" min="14" max="14"/>
    <col width="14" customWidth="1" min="15" max="15"/>
    <col width="16" customWidth="1" min="16" max="16"/>
    <col width="18" customWidth="1" min="17" max="17"/>
    <col width="18" customWidth="1" min="18" max="18"/>
    <col width="34" customWidth="1" min="19" max="19"/>
    <col width="34" customWidth="1" min="20" max="20"/>
  </cols>
  <sheetData>
    <row r="1">
      <c r="A1" s="10" t="inlineStr">
        <is>
          <t>Entry ID</t>
        </is>
      </c>
      <c r="B1" s="10" t="inlineStr">
        <is>
          <t>Worker ID</t>
        </is>
      </c>
      <c r="C1" s="10" t="inlineStr">
        <is>
          <t>Worker Name</t>
        </is>
      </c>
      <c r="D1" s="10" t="inlineStr">
        <is>
          <t>Job ID</t>
        </is>
      </c>
      <c r="E1" s="10" t="inlineStr">
        <is>
          <t>Job Name</t>
        </is>
      </c>
      <c r="F1" s="10" t="inlineStr">
        <is>
          <t>Work Date</t>
        </is>
      </c>
      <c r="G1" s="10" t="inlineStr">
        <is>
          <t>Start Time</t>
        </is>
      </c>
      <c r="H1" s="10" t="inlineStr">
        <is>
          <t>End Time</t>
        </is>
      </c>
      <c r="I1" s="10" t="inlineStr">
        <is>
          <t>Break Minutes</t>
        </is>
      </c>
      <c r="J1" s="10" t="inlineStr">
        <is>
          <t>Hours</t>
        </is>
      </c>
      <c r="K1" s="10" t="inlineStr">
        <is>
          <t>Rate</t>
        </is>
      </c>
      <c r="L1" s="10" t="inlineStr">
        <is>
          <t>Gross Pay</t>
        </is>
      </c>
      <c r="M1" s="10" t="inlineStr">
        <is>
          <t>Reimbursement</t>
        </is>
      </c>
      <c r="N1" s="10" t="inlineStr">
        <is>
          <t>Deduction</t>
        </is>
      </c>
      <c r="O1" s="10" t="inlineStr">
        <is>
          <t>Net Pay</t>
        </is>
      </c>
      <c r="P1" s="10" t="inlineStr">
        <is>
          <t>Approval Status</t>
        </is>
      </c>
      <c r="Q1" s="10" t="inlineStr">
        <is>
          <t>Submitted At</t>
        </is>
      </c>
      <c r="R1" s="10" t="inlineStr">
        <is>
          <t>Approved At</t>
        </is>
      </c>
      <c r="S1" s="10" t="inlineStr">
        <is>
          <t>Correction Note</t>
        </is>
      </c>
      <c r="T1" s="10" t="inlineStr">
        <is>
          <t>Notes</t>
        </is>
      </c>
    </row>
    <row r="2">
      <c r="A2" s="11" t="inlineStr">
        <is>
          <t>T-3001</t>
        </is>
      </c>
      <c r="B2" s="11" t="inlineStr">
        <is>
          <t>W-1001</t>
        </is>
      </c>
      <c r="C2" s="11">
        <f>IFERROR(VLOOKUP(B2,Workers!$A:$H,2,FALSE),"")</f>
        <v/>
      </c>
      <c r="D2" s="11" t="inlineStr">
        <is>
          <t>J-2001</t>
        </is>
      </c>
      <c r="E2" s="11">
        <f>IFERROR(VLOOKUP(D2,Jobs!$A:$G,2,FALSE),"")</f>
        <v/>
      </c>
      <c r="F2" s="12" t="n">
        <v>46175</v>
      </c>
      <c r="G2" s="14" t="n">
        <v>0.3333333333333333</v>
      </c>
      <c r="H2" s="14" t="n">
        <v>0.6875</v>
      </c>
      <c r="I2" s="11" t="n">
        <v>30</v>
      </c>
      <c r="J2" s="15">
        <f>IF(OR(G2="",H2=""),"",MAX(0,(H2-G2)*24-(I2/60)))</f>
        <v/>
      </c>
      <c r="K2" s="13">
        <f>IFERROR(VLOOKUP(D2,Jobs!$A:$G,5,FALSE),"")</f>
        <v/>
      </c>
      <c r="L2" s="13">
        <f>IF(OR(J2="",K2=""),"",J2*K2)</f>
        <v/>
      </c>
      <c r="M2" s="13" t="n">
        <v>35</v>
      </c>
      <c r="N2" s="13" t="n">
        <v>0</v>
      </c>
      <c r="O2" s="13">
        <f>IF(L2="","",L2+M2-N2)</f>
        <v/>
      </c>
      <c r="P2" s="11" t="inlineStr">
        <is>
          <t>Approved</t>
        </is>
      </c>
      <c r="Q2" s="16" t="n">
        <v>46175.69791666666</v>
      </c>
      <c r="R2" s="16" t="n">
        <v>46176.38194444445</v>
      </c>
      <c r="S2" s="11" t="inlineStr"/>
      <c r="T2" s="11" t="inlineStr">
        <is>
          <t>Unit prep and fixture checks.</t>
        </is>
      </c>
    </row>
    <row r="3">
      <c r="A3" s="11" t="inlineStr">
        <is>
          <t>T-3002</t>
        </is>
      </c>
      <c r="B3" s="11" t="inlineStr">
        <is>
          <t>W-1002</t>
        </is>
      </c>
      <c r="C3" s="11">
        <f>IFERROR(VLOOKUP(B3,Workers!$A:$H,2,FALSE),"")</f>
        <v/>
      </c>
      <c r="D3" s="11" t="inlineStr">
        <is>
          <t>J-2001</t>
        </is>
      </c>
      <c r="E3" s="11">
        <f>IFERROR(VLOOKUP(D3,Jobs!$A:$G,2,FALSE),"")</f>
        <v/>
      </c>
      <c r="F3" s="12" t="n">
        <v>46175</v>
      </c>
      <c r="G3" s="14" t="n">
        <v>0.3333333333333333</v>
      </c>
      <c r="H3" s="14" t="n">
        <v>0.625</v>
      </c>
      <c r="I3" s="11" t="n">
        <v>30</v>
      </c>
      <c r="J3" s="15">
        <f>IF(OR(G3="",H3=""),"",MAX(0,(H3-G3)*24-(I3/60)))</f>
        <v/>
      </c>
      <c r="K3" s="13">
        <f>IFERROR(VLOOKUP(D3,Jobs!$A:$G,5,FALSE),"")</f>
        <v/>
      </c>
      <c r="L3" s="13">
        <f>IF(OR(J3="",K3=""),"",J3*K3)</f>
        <v/>
      </c>
      <c r="M3" s="13" t="n">
        <v>0</v>
      </c>
      <c r="N3" s="13" t="n">
        <v>0</v>
      </c>
      <c r="O3" s="13">
        <f>IF(L3="","",L3+M3-N3)</f>
        <v/>
      </c>
      <c r="P3" s="11" t="inlineStr">
        <is>
          <t>Submitted</t>
        </is>
      </c>
      <c r="Q3" s="16" t="n">
        <v>46175.63888888889</v>
      </c>
      <c r="R3" s="16" t="n"/>
      <c r="S3" s="11" t="inlineStr"/>
      <c r="T3" s="11" t="inlineStr">
        <is>
          <t>Drywall patch support pending approval.</t>
        </is>
      </c>
    </row>
    <row r="4">
      <c r="A4" s="11" t="inlineStr">
        <is>
          <t>T-3003</t>
        </is>
      </c>
      <c r="B4" s="11" t="inlineStr">
        <is>
          <t>W-1003</t>
        </is>
      </c>
      <c r="C4" s="11">
        <f>IFERROR(VLOOKUP(B4,Workers!$A:$H,2,FALSE),"")</f>
        <v/>
      </c>
      <c r="D4" s="11" t="inlineStr">
        <is>
          <t>J-2003</t>
        </is>
      </c>
      <c r="E4" s="11">
        <f>IFERROR(VLOOKUP(D4,Jobs!$A:$G,2,FALSE),"")</f>
        <v/>
      </c>
      <c r="F4" s="12" t="n">
        <v>46176</v>
      </c>
      <c r="G4" s="14" t="n">
        <v>0.375</v>
      </c>
      <c r="H4" s="14" t="n">
        <v>0.5833333333333334</v>
      </c>
      <c r="I4" s="11" t="n">
        <v>0</v>
      </c>
      <c r="J4" s="15">
        <f>IF(OR(G4="",H4=""),"",MAX(0,(H4-G4)*24-(I4/60)))</f>
        <v/>
      </c>
      <c r="K4" s="13">
        <f>IFERROR(VLOOKUP(D4,Jobs!$A:$G,5,FALSE),"")</f>
        <v/>
      </c>
      <c r="L4" s="13">
        <f>IF(OR(J4="",K4=""),"",J4*K4)</f>
        <v/>
      </c>
      <c r="M4" s="13" t="n">
        <v>0</v>
      </c>
      <c r="N4" s="13" t="n">
        <v>0</v>
      </c>
      <c r="O4" s="13">
        <f>IF(L4="","",L4+M4-N4)</f>
        <v/>
      </c>
      <c r="P4" s="11" t="inlineStr">
        <is>
          <t>Approved</t>
        </is>
      </c>
      <c r="Q4" s="16" t="n">
        <v>46176.59027777778</v>
      </c>
      <c r="R4" s="16" t="n">
        <v>46177.35416666666</v>
      </c>
      <c r="S4" s="11" t="inlineStr"/>
      <c r="T4" s="11" t="inlineStr">
        <is>
          <t>Historical approved work before inactive status.</t>
        </is>
      </c>
    </row>
    <row r="5">
      <c r="A5" s="11" t="inlineStr">
        <is>
          <t>T-3004</t>
        </is>
      </c>
      <c r="B5" s="11" t="inlineStr">
        <is>
          <t>W-1001</t>
        </is>
      </c>
      <c r="C5" s="11">
        <f>IFERROR(VLOOKUP(B5,Workers!$A:$H,2,FALSE),"")</f>
        <v/>
      </c>
      <c r="D5" s="11" t="inlineStr">
        <is>
          <t>J-2002</t>
        </is>
      </c>
      <c r="E5" s="11">
        <f>IFERROR(VLOOKUP(D5,Jobs!$A:$G,2,FALSE),"")</f>
        <v/>
      </c>
      <c r="F5" s="12" t="n">
        <v>46179</v>
      </c>
      <c r="G5" s="14" t="n">
        <v>0.3125</v>
      </c>
      <c r="H5" s="14" t="n">
        <v>0.5625</v>
      </c>
      <c r="I5" s="11" t="n">
        <v>0</v>
      </c>
      <c r="J5" s="15">
        <f>IF(OR(G5="",H5=""),"",MAX(0,(H5-G5)*24-(I5/60)))</f>
        <v/>
      </c>
      <c r="K5" s="13">
        <f>IFERROR(VLOOKUP(D5,Jobs!$A:$G,5,FALSE),"")</f>
        <v/>
      </c>
      <c r="L5" s="13">
        <f>IF(OR(J5="",K5=""),"",J5*K5)</f>
        <v/>
      </c>
      <c r="M5" s="13" t="n">
        <v>0</v>
      </c>
      <c r="N5" s="13" t="n">
        <v>0</v>
      </c>
      <c r="O5" s="13">
        <f>IF(L5="","",L5+M5-N5)</f>
        <v/>
      </c>
      <c r="P5" s="11" t="inlineStr">
        <is>
          <t>Paid</t>
        </is>
      </c>
      <c r="Q5" s="16" t="n">
        <v>46179.56944444445</v>
      </c>
      <c r="R5" s="16" t="n">
        <v>46180.41666666666</v>
      </c>
      <c r="S5" s="11" t="inlineStr">
        <is>
          <t>Paid period proof generated after final punch list.</t>
        </is>
      </c>
      <c r="T5" s="11" t="inlineStr">
        <is>
          <t>Final punch list.</t>
        </is>
      </c>
    </row>
    <row r="6">
      <c r="A6" s="11" t="inlineStr">
        <is>
          <t>T-3005</t>
        </is>
      </c>
      <c r="B6" s="11" t="inlineStr">
        <is>
          <t>W-1003</t>
        </is>
      </c>
      <c r="C6" s="11">
        <f>IFERROR(VLOOKUP(B6,Workers!$A:$H,2,FALSE),"")</f>
        <v/>
      </c>
      <c r="D6" s="11" t="inlineStr">
        <is>
          <t>J-2003</t>
        </is>
      </c>
      <c r="E6" s="11">
        <f>IFERROR(VLOOKUP(D6,Jobs!$A:$G,2,FALSE),"")</f>
        <v/>
      </c>
      <c r="F6" s="12" t="n">
        <v>46178</v>
      </c>
      <c r="G6" s="14" t="n">
        <v>0.3541666666666667</v>
      </c>
      <c r="H6" s="14" t="n">
        <v>0.5208333333333334</v>
      </c>
      <c r="I6" s="11" t="n">
        <v>0</v>
      </c>
      <c r="J6" s="15">
        <f>IF(OR(G6="",H6=""),"",MAX(0,(H6-G6)*24-(I6/60)))</f>
        <v/>
      </c>
      <c r="K6" s="13">
        <f>IFERROR(VLOOKUP(D6,Jobs!$A:$G,5,FALSE),"")</f>
        <v/>
      </c>
      <c r="L6" s="13">
        <f>IF(OR(J6="",K6=""),"",J6*K6)</f>
        <v/>
      </c>
      <c r="M6" s="13" t="n">
        <v>15</v>
      </c>
      <c r="N6" s="13" t="n">
        <v>0</v>
      </c>
      <c r="O6" s="13">
        <f>IF(L6="","",L6+M6-N6)</f>
        <v/>
      </c>
      <c r="P6" s="11" t="inlineStr">
        <is>
          <t>Finalized</t>
        </is>
      </c>
      <c r="Q6" s="16" t="n">
        <v>46178.53125</v>
      </c>
      <c r="R6" s="16" t="n">
        <v>46179.38541666666</v>
      </c>
      <c r="S6" s="11" t="inlineStr">
        <is>
          <t>Visible correction: added reimbursement before worker was inactive.</t>
        </is>
      </c>
      <c r="T6" s="11" t="inlineStr">
        <is>
          <t>Historical reimbursement correction retained.</t>
        </is>
      </c>
    </row>
    <row r="7">
      <c r="C7">
        <f>IFERROR(VLOOKUP(B7,Workers!$A:$H,2,FALSE),"")</f>
        <v/>
      </c>
      <c r="E7">
        <f>IFERROR(VLOOKUP(D7,Jobs!$A:$G,2,FALSE),"")</f>
        <v/>
      </c>
      <c r="F7" s="17" t="n"/>
      <c r="G7" s="18" t="n"/>
      <c r="H7" s="18" t="n"/>
      <c r="J7" s="19">
        <f>IF(OR(G7="",H7=""),"",MAX(0,(H7-G7)*24-(I7/60)))</f>
        <v/>
      </c>
      <c r="K7" s="20">
        <f>IFERROR(VLOOKUP(D7,Jobs!$A:$G,5,FALSE),"")</f>
        <v/>
      </c>
      <c r="L7" s="20">
        <f>IF(OR(J7="",K7=""),"",J7*K7)</f>
        <v/>
      </c>
      <c r="M7" s="20" t="n"/>
      <c r="N7" s="20" t="n"/>
      <c r="O7" s="20">
        <f>IF(L7="","",L7+M7-N7)</f>
        <v/>
      </c>
      <c r="Q7" s="21" t="n"/>
      <c r="R7" s="21" t="n"/>
    </row>
    <row r="8">
      <c r="C8">
        <f>IFERROR(VLOOKUP(B8,Workers!$A:$H,2,FALSE),"")</f>
        <v/>
      </c>
      <c r="E8">
        <f>IFERROR(VLOOKUP(D8,Jobs!$A:$G,2,FALSE),"")</f>
        <v/>
      </c>
      <c r="F8" s="17" t="n"/>
      <c r="G8" s="18" t="n"/>
      <c r="H8" s="18" t="n"/>
      <c r="J8" s="19">
        <f>IF(OR(G8="",H8=""),"",MAX(0,(H8-G8)*24-(I8/60)))</f>
        <v/>
      </c>
      <c r="K8" s="20">
        <f>IFERROR(VLOOKUP(D8,Jobs!$A:$G,5,FALSE),"")</f>
        <v/>
      </c>
      <c r="L8" s="20">
        <f>IF(OR(J8="",K8=""),"",J8*K8)</f>
        <v/>
      </c>
      <c r="M8" s="20" t="n"/>
      <c r="N8" s="20" t="n"/>
      <c r="O8" s="20">
        <f>IF(L8="","",L8+M8-N8)</f>
        <v/>
      </c>
      <c r="Q8" s="21" t="n"/>
      <c r="R8" s="21" t="n"/>
    </row>
    <row r="9">
      <c r="C9">
        <f>IFERROR(VLOOKUP(B9,Workers!$A:$H,2,FALSE),"")</f>
        <v/>
      </c>
      <c r="E9">
        <f>IFERROR(VLOOKUP(D9,Jobs!$A:$G,2,FALSE),"")</f>
        <v/>
      </c>
      <c r="F9" s="17" t="n"/>
      <c r="G9" s="18" t="n"/>
      <c r="H9" s="18" t="n"/>
      <c r="J9" s="19">
        <f>IF(OR(G9="",H9=""),"",MAX(0,(H9-G9)*24-(I9/60)))</f>
        <v/>
      </c>
      <c r="K9" s="20">
        <f>IFERROR(VLOOKUP(D9,Jobs!$A:$G,5,FALSE),"")</f>
        <v/>
      </c>
      <c r="L9" s="20">
        <f>IF(OR(J9="",K9=""),"",J9*K9)</f>
        <v/>
      </c>
      <c r="M9" s="20" t="n"/>
      <c r="N9" s="20" t="n"/>
      <c r="O9" s="20">
        <f>IF(L9="","",L9+M9-N9)</f>
        <v/>
      </c>
      <c r="Q9" s="21" t="n"/>
      <c r="R9" s="21" t="n"/>
    </row>
    <row r="10">
      <c r="C10">
        <f>IFERROR(VLOOKUP(B10,Workers!$A:$H,2,FALSE),"")</f>
        <v/>
      </c>
      <c r="E10">
        <f>IFERROR(VLOOKUP(D10,Jobs!$A:$G,2,FALSE),"")</f>
        <v/>
      </c>
      <c r="F10" s="17" t="n"/>
      <c r="G10" s="18" t="n"/>
      <c r="H10" s="18" t="n"/>
      <c r="J10" s="19">
        <f>IF(OR(G10="",H10=""),"",MAX(0,(H10-G10)*24-(I10/60)))</f>
        <v/>
      </c>
      <c r="K10" s="20">
        <f>IFERROR(VLOOKUP(D10,Jobs!$A:$G,5,FALSE),"")</f>
        <v/>
      </c>
      <c r="L10" s="20">
        <f>IF(OR(J10="",K10=""),"",J10*K10)</f>
        <v/>
      </c>
      <c r="M10" s="20" t="n"/>
      <c r="N10" s="20" t="n"/>
      <c r="O10" s="20">
        <f>IF(L10="","",L10+M10-N10)</f>
        <v/>
      </c>
      <c r="Q10" s="21" t="n"/>
      <c r="R10" s="21" t="n"/>
    </row>
    <row r="11">
      <c r="C11">
        <f>IFERROR(VLOOKUP(B11,Workers!$A:$H,2,FALSE),"")</f>
        <v/>
      </c>
      <c r="E11">
        <f>IFERROR(VLOOKUP(D11,Jobs!$A:$G,2,FALSE),"")</f>
        <v/>
      </c>
      <c r="F11" s="17" t="n"/>
      <c r="G11" s="18" t="n"/>
      <c r="H11" s="18" t="n"/>
      <c r="J11" s="19">
        <f>IF(OR(G11="",H11=""),"",MAX(0,(H11-G11)*24-(I11/60)))</f>
        <v/>
      </c>
      <c r="K11" s="20">
        <f>IFERROR(VLOOKUP(D11,Jobs!$A:$G,5,FALSE),"")</f>
        <v/>
      </c>
      <c r="L11" s="20">
        <f>IF(OR(J11="",K11=""),"",J11*K11)</f>
        <v/>
      </c>
      <c r="M11" s="20" t="n"/>
      <c r="N11" s="20" t="n"/>
      <c r="O11" s="20">
        <f>IF(L11="","",L11+M11-N11)</f>
        <v/>
      </c>
      <c r="Q11" s="21" t="n"/>
      <c r="R11" s="21" t="n"/>
    </row>
    <row r="12">
      <c r="C12">
        <f>IFERROR(VLOOKUP(B12,Workers!$A:$H,2,FALSE),"")</f>
        <v/>
      </c>
      <c r="E12">
        <f>IFERROR(VLOOKUP(D12,Jobs!$A:$G,2,FALSE),"")</f>
        <v/>
      </c>
      <c r="F12" s="17" t="n"/>
      <c r="G12" s="18" t="n"/>
      <c r="H12" s="18" t="n"/>
      <c r="J12" s="19">
        <f>IF(OR(G12="",H12=""),"",MAX(0,(H12-G12)*24-(I12/60)))</f>
        <v/>
      </c>
      <c r="K12" s="20">
        <f>IFERROR(VLOOKUP(D12,Jobs!$A:$G,5,FALSE),"")</f>
        <v/>
      </c>
      <c r="L12" s="20">
        <f>IF(OR(J12="",K12=""),"",J12*K12)</f>
        <v/>
      </c>
      <c r="M12" s="20" t="n"/>
      <c r="N12" s="20" t="n"/>
      <c r="O12" s="20">
        <f>IF(L12="","",L12+M12-N12)</f>
        <v/>
      </c>
      <c r="Q12" s="21" t="n"/>
      <c r="R12" s="21" t="n"/>
    </row>
    <row r="13">
      <c r="C13">
        <f>IFERROR(VLOOKUP(B13,Workers!$A:$H,2,FALSE),"")</f>
        <v/>
      </c>
      <c r="E13">
        <f>IFERROR(VLOOKUP(D13,Jobs!$A:$G,2,FALSE),"")</f>
        <v/>
      </c>
      <c r="F13" s="17" t="n"/>
      <c r="G13" s="18" t="n"/>
      <c r="H13" s="18" t="n"/>
      <c r="J13" s="19">
        <f>IF(OR(G13="",H13=""),"",MAX(0,(H13-G13)*24-(I13/60)))</f>
        <v/>
      </c>
      <c r="K13" s="20">
        <f>IFERROR(VLOOKUP(D13,Jobs!$A:$G,5,FALSE),"")</f>
        <v/>
      </c>
      <c r="L13" s="20">
        <f>IF(OR(J13="",K13=""),"",J13*K13)</f>
        <v/>
      </c>
      <c r="M13" s="20" t="n"/>
      <c r="N13" s="20" t="n"/>
      <c r="O13" s="20">
        <f>IF(L13="","",L13+M13-N13)</f>
        <v/>
      </c>
      <c r="Q13" s="21" t="n"/>
      <c r="R13" s="21" t="n"/>
    </row>
    <row r="14">
      <c r="C14">
        <f>IFERROR(VLOOKUP(B14,Workers!$A:$H,2,FALSE),"")</f>
        <v/>
      </c>
      <c r="E14">
        <f>IFERROR(VLOOKUP(D14,Jobs!$A:$G,2,FALSE),"")</f>
        <v/>
      </c>
      <c r="F14" s="17" t="n"/>
      <c r="G14" s="18" t="n"/>
      <c r="H14" s="18" t="n"/>
      <c r="J14" s="19">
        <f>IF(OR(G14="",H14=""),"",MAX(0,(H14-G14)*24-(I14/60)))</f>
        <v/>
      </c>
      <c r="K14" s="20">
        <f>IFERROR(VLOOKUP(D14,Jobs!$A:$G,5,FALSE),"")</f>
        <v/>
      </c>
      <c r="L14" s="20">
        <f>IF(OR(J14="",K14=""),"",J14*K14)</f>
        <v/>
      </c>
      <c r="M14" s="20" t="n"/>
      <c r="N14" s="20" t="n"/>
      <c r="O14" s="20">
        <f>IF(L14="","",L14+M14-N14)</f>
        <v/>
      </c>
      <c r="Q14" s="21" t="n"/>
      <c r="R14" s="21" t="n"/>
    </row>
    <row r="15">
      <c r="C15">
        <f>IFERROR(VLOOKUP(B15,Workers!$A:$H,2,FALSE),"")</f>
        <v/>
      </c>
      <c r="E15">
        <f>IFERROR(VLOOKUP(D15,Jobs!$A:$G,2,FALSE),"")</f>
        <v/>
      </c>
      <c r="F15" s="17" t="n"/>
      <c r="G15" s="18" t="n"/>
      <c r="H15" s="18" t="n"/>
      <c r="J15" s="19">
        <f>IF(OR(G15="",H15=""),"",MAX(0,(H15-G15)*24-(I15/60)))</f>
        <v/>
      </c>
      <c r="K15" s="20">
        <f>IFERROR(VLOOKUP(D15,Jobs!$A:$G,5,FALSE),"")</f>
        <v/>
      </c>
      <c r="L15" s="20">
        <f>IF(OR(J15="",K15=""),"",J15*K15)</f>
        <v/>
      </c>
      <c r="M15" s="20" t="n"/>
      <c r="N15" s="20" t="n"/>
      <c r="O15" s="20">
        <f>IF(L15="","",L15+M15-N15)</f>
        <v/>
      </c>
      <c r="Q15" s="21" t="n"/>
      <c r="R15" s="21" t="n"/>
    </row>
    <row r="16">
      <c r="C16">
        <f>IFERROR(VLOOKUP(B16,Workers!$A:$H,2,FALSE),"")</f>
        <v/>
      </c>
      <c r="E16">
        <f>IFERROR(VLOOKUP(D16,Jobs!$A:$G,2,FALSE),"")</f>
        <v/>
      </c>
      <c r="F16" s="17" t="n"/>
      <c r="G16" s="18" t="n"/>
      <c r="H16" s="18" t="n"/>
      <c r="J16" s="19">
        <f>IF(OR(G16="",H16=""),"",MAX(0,(H16-G16)*24-(I16/60)))</f>
        <v/>
      </c>
      <c r="K16" s="20">
        <f>IFERROR(VLOOKUP(D16,Jobs!$A:$G,5,FALSE),"")</f>
        <v/>
      </c>
      <c r="L16" s="20">
        <f>IF(OR(J16="",K16=""),"",J16*K16)</f>
        <v/>
      </c>
      <c r="M16" s="20" t="n"/>
      <c r="N16" s="20" t="n"/>
      <c r="O16" s="20">
        <f>IF(L16="","",L16+M16-N16)</f>
        <v/>
      </c>
      <c r="Q16" s="21" t="n"/>
      <c r="R16" s="21" t="n"/>
    </row>
    <row r="17">
      <c r="C17">
        <f>IFERROR(VLOOKUP(B17,Workers!$A:$H,2,FALSE),"")</f>
        <v/>
      </c>
      <c r="E17">
        <f>IFERROR(VLOOKUP(D17,Jobs!$A:$G,2,FALSE),"")</f>
        <v/>
      </c>
      <c r="F17" s="17" t="n"/>
      <c r="G17" s="18" t="n"/>
      <c r="H17" s="18" t="n"/>
      <c r="J17" s="19">
        <f>IF(OR(G17="",H17=""),"",MAX(0,(H17-G17)*24-(I17/60)))</f>
        <v/>
      </c>
      <c r="K17" s="20">
        <f>IFERROR(VLOOKUP(D17,Jobs!$A:$G,5,FALSE),"")</f>
        <v/>
      </c>
      <c r="L17" s="20">
        <f>IF(OR(J17="",K17=""),"",J17*K17)</f>
        <v/>
      </c>
      <c r="M17" s="20" t="n"/>
      <c r="N17" s="20" t="n"/>
      <c r="O17" s="20">
        <f>IF(L17="","",L17+M17-N17)</f>
        <v/>
      </c>
      <c r="Q17" s="21" t="n"/>
      <c r="R17" s="21" t="n"/>
    </row>
    <row r="18">
      <c r="C18">
        <f>IFERROR(VLOOKUP(B18,Workers!$A:$H,2,FALSE),"")</f>
        <v/>
      </c>
      <c r="E18">
        <f>IFERROR(VLOOKUP(D18,Jobs!$A:$G,2,FALSE),"")</f>
        <v/>
      </c>
      <c r="F18" s="17" t="n"/>
      <c r="G18" s="18" t="n"/>
      <c r="H18" s="18" t="n"/>
      <c r="J18" s="19">
        <f>IF(OR(G18="",H18=""),"",MAX(0,(H18-G18)*24-(I18/60)))</f>
        <v/>
      </c>
      <c r="K18" s="20">
        <f>IFERROR(VLOOKUP(D18,Jobs!$A:$G,5,FALSE),"")</f>
        <v/>
      </c>
      <c r="L18" s="20">
        <f>IF(OR(J18="",K18=""),"",J18*K18)</f>
        <v/>
      </c>
      <c r="M18" s="20" t="n"/>
      <c r="N18" s="20" t="n"/>
      <c r="O18" s="20">
        <f>IF(L18="","",L18+M18-N18)</f>
        <v/>
      </c>
      <c r="Q18" s="21" t="n"/>
      <c r="R18" s="21" t="n"/>
    </row>
    <row r="19">
      <c r="C19">
        <f>IFERROR(VLOOKUP(B19,Workers!$A:$H,2,FALSE),"")</f>
        <v/>
      </c>
      <c r="E19">
        <f>IFERROR(VLOOKUP(D19,Jobs!$A:$G,2,FALSE),"")</f>
        <v/>
      </c>
      <c r="F19" s="17" t="n"/>
      <c r="G19" s="18" t="n"/>
      <c r="H19" s="18" t="n"/>
      <c r="J19" s="19">
        <f>IF(OR(G19="",H19=""),"",MAX(0,(H19-G19)*24-(I19/60)))</f>
        <v/>
      </c>
      <c r="K19" s="20">
        <f>IFERROR(VLOOKUP(D19,Jobs!$A:$G,5,FALSE),"")</f>
        <v/>
      </c>
      <c r="L19" s="20">
        <f>IF(OR(J19="",K19=""),"",J19*K19)</f>
        <v/>
      </c>
      <c r="M19" s="20" t="n"/>
      <c r="N19" s="20" t="n"/>
      <c r="O19" s="20">
        <f>IF(L19="","",L19+M19-N19)</f>
        <v/>
      </c>
      <c r="Q19" s="21" t="n"/>
      <c r="R19" s="21" t="n"/>
    </row>
    <row r="20">
      <c r="C20">
        <f>IFERROR(VLOOKUP(B20,Workers!$A:$H,2,FALSE),"")</f>
        <v/>
      </c>
      <c r="E20">
        <f>IFERROR(VLOOKUP(D20,Jobs!$A:$G,2,FALSE),"")</f>
        <v/>
      </c>
      <c r="F20" s="17" t="n"/>
      <c r="G20" s="18" t="n"/>
      <c r="H20" s="18" t="n"/>
      <c r="J20" s="19">
        <f>IF(OR(G20="",H20=""),"",MAX(0,(H20-G20)*24-(I20/60)))</f>
        <v/>
      </c>
      <c r="K20" s="20">
        <f>IFERROR(VLOOKUP(D20,Jobs!$A:$G,5,FALSE),"")</f>
        <v/>
      </c>
      <c r="L20" s="20">
        <f>IF(OR(J20="",K20=""),"",J20*K20)</f>
        <v/>
      </c>
      <c r="M20" s="20" t="n"/>
      <c r="N20" s="20" t="n"/>
      <c r="O20" s="20">
        <f>IF(L20="","",L20+M20-N20)</f>
        <v/>
      </c>
      <c r="Q20" s="21" t="n"/>
      <c r="R20" s="21" t="n"/>
    </row>
    <row r="21">
      <c r="C21">
        <f>IFERROR(VLOOKUP(B21,Workers!$A:$H,2,FALSE),"")</f>
        <v/>
      </c>
      <c r="E21">
        <f>IFERROR(VLOOKUP(D21,Jobs!$A:$G,2,FALSE),"")</f>
        <v/>
      </c>
      <c r="F21" s="17" t="n"/>
      <c r="G21" s="18" t="n"/>
      <c r="H21" s="18" t="n"/>
      <c r="J21" s="19">
        <f>IF(OR(G21="",H21=""),"",MAX(0,(H21-G21)*24-(I21/60)))</f>
        <v/>
      </c>
      <c r="K21" s="20">
        <f>IFERROR(VLOOKUP(D21,Jobs!$A:$G,5,FALSE),"")</f>
        <v/>
      </c>
      <c r="L21" s="20">
        <f>IF(OR(J21="",K21=""),"",J21*K21)</f>
        <v/>
      </c>
      <c r="M21" s="20" t="n"/>
      <c r="N21" s="20" t="n"/>
      <c r="O21" s="20">
        <f>IF(L21="","",L21+M21-N21)</f>
        <v/>
      </c>
      <c r="Q21" s="21" t="n"/>
      <c r="R21" s="21" t="n"/>
    </row>
    <row r="22">
      <c r="C22">
        <f>IFERROR(VLOOKUP(B22,Workers!$A:$H,2,FALSE),"")</f>
        <v/>
      </c>
      <c r="E22">
        <f>IFERROR(VLOOKUP(D22,Jobs!$A:$G,2,FALSE),"")</f>
        <v/>
      </c>
      <c r="F22" s="17" t="n"/>
      <c r="G22" s="18" t="n"/>
      <c r="H22" s="18" t="n"/>
      <c r="J22" s="19">
        <f>IF(OR(G22="",H22=""),"",MAX(0,(H22-G22)*24-(I22/60)))</f>
        <v/>
      </c>
      <c r="K22" s="20">
        <f>IFERROR(VLOOKUP(D22,Jobs!$A:$G,5,FALSE),"")</f>
        <v/>
      </c>
      <c r="L22" s="20">
        <f>IF(OR(J22="",K22=""),"",J22*K22)</f>
        <v/>
      </c>
      <c r="M22" s="20" t="n"/>
      <c r="N22" s="20" t="n"/>
      <c r="O22" s="20">
        <f>IF(L22="","",L22+M22-N22)</f>
        <v/>
      </c>
      <c r="Q22" s="21" t="n"/>
      <c r="R22" s="21" t="n"/>
    </row>
    <row r="23">
      <c r="C23">
        <f>IFERROR(VLOOKUP(B23,Workers!$A:$H,2,FALSE),"")</f>
        <v/>
      </c>
      <c r="E23">
        <f>IFERROR(VLOOKUP(D23,Jobs!$A:$G,2,FALSE),"")</f>
        <v/>
      </c>
      <c r="F23" s="17" t="n"/>
      <c r="G23" s="18" t="n"/>
      <c r="H23" s="18" t="n"/>
      <c r="J23" s="19">
        <f>IF(OR(G23="",H23=""),"",MAX(0,(H23-G23)*24-(I23/60)))</f>
        <v/>
      </c>
      <c r="K23" s="20">
        <f>IFERROR(VLOOKUP(D23,Jobs!$A:$G,5,FALSE),"")</f>
        <v/>
      </c>
      <c r="L23" s="20">
        <f>IF(OR(J23="",K23=""),"",J23*K23)</f>
        <v/>
      </c>
      <c r="M23" s="20" t="n"/>
      <c r="N23" s="20" t="n"/>
      <c r="O23" s="20">
        <f>IF(L23="","",L23+M23-N23)</f>
        <v/>
      </c>
      <c r="Q23" s="21" t="n"/>
      <c r="R23" s="21" t="n"/>
    </row>
    <row r="24">
      <c r="C24">
        <f>IFERROR(VLOOKUP(B24,Workers!$A:$H,2,FALSE),"")</f>
        <v/>
      </c>
      <c r="E24">
        <f>IFERROR(VLOOKUP(D24,Jobs!$A:$G,2,FALSE),"")</f>
        <v/>
      </c>
      <c r="F24" s="17" t="n"/>
      <c r="G24" s="18" t="n"/>
      <c r="H24" s="18" t="n"/>
      <c r="J24" s="19">
        <f>IF(OR(G24="",H24=""),"",MAX(0,(H24-G24)*24-(I24/60)))</f>
        <v/>
      </c>
      <c r="K24" s="20">
        <f>IFERROR(VLOOKUP(D24,Jobs!$A:$G,5,FALSE),"")</f>
        <v/>
      </c>
      <c r="L24" s="20">
        <f>IF(OR(J24="",K24=""),"",J24*K24)</f>
        <v/>
      </c>
      <c r="M24" s="20" t="n"/>
      <c r="N24" s="20" t="n"/>
      <c r="O24" s="20">
        <f>IF(L24="","",L24+M24-N24)</f>
        <v/>
      </c>
      <c r="Q24" s="21" t="n"/>
      <c r="R24" s="21" t="n"/>
    </row>
    <row r="25">
      <c r="C25">
        <f>IFERROR(VLOOKUP(B25,Workers!$A:$H,2,FALSE),"")</f>
        <v/>
      </c>
      <c r="E25">
        <f>IFERROR(VLOOKUP(D25,Jobs!$A:$G,2,FALSE),"")</f>
        <v/>
      </c>
      <c r="F25" s="17" t="n"/>
      <c r="G25" s="18" t="n"/>
      <c r="H25" s="18" t="n"/>
      <c r="J25" s="19">
        <f>IF(OR(G25="",H25=""),"",MAX(0,(H25-G25)*24-(I25/60)))</f>
        <v/>
      </c>
      <c r="K25" s="20">
        <f>IFERROR(VLOOKUP(D25,Jobs!$A:$G,5,FALSE),"")</f>
        <v/>
      </c>
      <c r="L25" s="20">
        <f>IF(OR(J25="",K25=""),"",J25*K25)</f>
        <v/>
      </c>
      <c r="M25" s="20" t="n"/>
      <c r="N25" s="20" t="n"/>
      <c r="O25" s="20">
        <f>IF(L25="","",L25+M25-N25)</f>
        <v/>
      </c>
      <c r="Q25" s="21" t="n"/>
      <c r="R25" s="21" t="n"/>
    </row>
    <row r="26">
      <c r="C26">
        <f>IFERROR(VLOOKUP(B26,Workers!$A:$H,2,FALSE),"")</f>
        <v/>
      </c>
      <c r="E26">
        <f>IFERROR(VLOOKUP(D26,Jobs!$A:$G,2,FALSE),"")</f>
        <v/>
      </c>
      <c r="F26" s="17" t="n"/>
      <c r="G26" s="18" t="n"/>
      <c r="H26" s="18" t="n"/>
      <c r="J26" s="19">
        <f>IF(OR(G26="",H26=""),"",MAX(0,(H26-G26)*24-(I26/60)))</f>
        <v/>
      </c>
      <c r="K26" s="20">
        <f>IFERROR(VLOOKUP(D26,Jobs!$A:$G,5,FALSE),"")</f>
        <v/>
      </c>
      <c r="L26" s="20">
        <f>IF(OR(J26="",K26=""),"",J26*K26)</f>
        <v/>
      </c>
      <c r="M26" s="20" t="n"/>
      <c r="N26" s="20" t="n"/>
      <c r="O26" s="20">
        <f>IF(L26="","",L26+M26-N26)</f>
        <v/>
      </c>
      <c r="Q26" s="21" t="n"/>
      <c r="R26" s="21" t="n"/>
    </row>
    <row r="27">
      <c r="C27">
        <f>IFERROR(VLOOKUP(B27,Workers!$A:$H,2,FALSE),"")</f>
        <v/>
      </c>
      <c r="E27">
        <f>IFERROR(VLOOKUP(D27,Jobs!$A:$G,2,FALSE),"")</f>
        <v/>
      </c>
      <c r="F27" s="17" t="n"/>
      <c r="G27" s="18" t="n"/>
      <c r="H27" s="18" t="n"/>
      <c r="J27" s="19">
        <f>IF(OR(G27="",H27=""),"",MAX(0,(H27-G27)*24-(I27/60)))</f>
        <v/>
      </c>
      <c r="K27" s="20">
        <f>IFERROR(VLOOKUP(D27,Jobs!$A:$G,5,FALSE),"")</f>
        <v/>
      </c>
      <c r="L27" s="20">
        <f>IF(OR(J27="",K27=""),"",J27*K27)</f>
        <v/>
      </c>
      <c r="M27" s="20" t="n"/>
      <c r="N27" s="20" t="n"/>
      <c r="O27" s="20">
        <f>IF(L27="","",L27+M27-N27)</f>
        <v/>
      </c>
      <c r="Q27" s="21" t="n"/>
      <c r="R27" s="21" t="n"/>
    </row>
    <row r="28">
      <c r="C28">
        <f>IFERROR(VLOOKUP(B28,Workers!$A:$H,2,FALSE),"")</f>
        <v/>
      </c>
      <c r="E28">
        <f>IFERROR(VLOOKUP(D28,Jobs!$A:$G,2,FALSE),"")</f>
        <v/>
      </c>
      <c r="F28" s="17" t="n"/>
      <c r="G28" s="18" t="n"/>
      <c r="H28" s="18" t="n"/>
      <c r="J28" s="19">
        <f>IF(OR(G28="",H28=""),"",MAX(0,(H28-G28)*24-(I28/60)))</f>
        <v/>
      </c>
      <c r="K28" s="20">
        <f>IFERROR(VLOOKUP(D28,Jobs!$A:$G,5,FALSE),"")</f>
        <v/>
      </c>
      <c r="L28" s="20">
        <f>IF(OR(J28="",K28=""),"",J28*K28)</f>
        <v/>
      </c>
      <c r="M28" s="20" t="n"/>
      <c r="N28" s="20" t="n"/>
      <c r="O28" s="20">
        <f>IF(L28="","",L28+M28-N28)</f>
        <v/>
      </c>
      <c r="Q28" s="21" t="n"/>
      <c r="R28" s="21" t="n"/>
    </row>
    <row r="29">
      <c r="C29">
        <f>IFERROR(VLOOKUP(B29,Workers!$A:$H,2,FALSE),"")</f>
        <v/>
      </c>
      <c r="E29">
        <f>IFERROR(VLOOKUP(D29,Jobs!$A:$G,2,FALSE),"")</f>
        <v/>
      </c>
      <c r="F29" s="17" t="n"/>
      <c r="G29" s="18" t="n"/>
      <c r="H29" s="18" t="n"/>
      <c r="J29" s="19">
        <f>IF(OR(G29="",H29=""),"",MAX(0,(H29-G29)*24-(I29/60)))</f>
        <v/>
      </c>
      <c r="K29" s="20">
        <f>IFERROR(VLOOKUP(D29,Jobs!$A:$G,5,FALSE),"")</f>
        <v/>
      </c>
      <c r="L29" s="20">
        <f>IF(OR(J29="",K29=""),"",J29*K29)</f>
        <v/>
      </c>
      <c r="M29" s="20" t="n"/>
      <c r="N29" s="20" t="n"/>
      <c r="O29" s="20">
        <f>IF(L29="","",L29+M29-N29)</f>
        <v/>
      </c>
      <c r="Q29" s="21" t="n"/>
      <c r="R29" s="21" t="n"/>
    </row>
    <row r="30">
      <c r="C30">
        <f>IFERROR(VLOOKUP(B30,Workers!$A:$H,2,FALSE),"")</f>
        <v/>
      </c>
      <c r="E30">
        <f>IFERROR(VLOOKUP(D30,Jobs!$A:$G,2,FALSE),"")</f>
        <v/>
      </c>
      <c r="F30" s="17" t="n"/>
      <c r="G30" s="18" t="n"/>
      <c r="H30" s="18" t="n"/>
      <c r="J30" s="19">
        <f>IF(OR(G30="",H30=""),"",MAX(0,(H30-G30)*24-(I30/60)))</f>
        <v/>
      </c>
      <c r="K30" s="20">
        <f>IFERROR(VLOOKUP(D30,Jobs!$A:$G,5,FALSE),"")</f>
        <v/>
      </c>
      <c r="L30" s="20">
        <f>IF(OR(J30="",K30=""),"",J30*K30)</f>
        <v/>
      </c>
      <c r="M30" s="20" t="n"/>
      <c r="N30" s="20" t="n"/>
      <c r="O30" s="20">
        <f>IF(L30="","",L30+M30-N30)</f>
        <v/>
      </c>
      <c r="Q30" s="21" t="n"/>
      <c r="R30" s="21" t="n"/>
    </row>
    <row r="31">
      <c r="C31">
        <f>IFERROR(VLOOKUP(B31,Workers!$A:$H,2,FALSE),"")</f>
        <v/>
      </c>
      <c r="E31">
        <f>IFERROR(VLOOKUP(D31,Jobs!$A:$G,2,FALSE),"")</f>
        <v/>
      </c>
      <c r="F31" s="17" t="n"/>
      <c r="G31" s="18" t="n"/>
      <c r="H31" s="18" t="n"/>
      <c r="J31" s="19">
        <f>IF(OR(G31="",H31=""),"",MAX(0,(H31-G31)*24-(I31/60)))</f>
        <v/>
      </c>
      <c r="K31" s="20">
        <f>IFERROR(VLOOKUP(D31,Jobs!$A:$G,5,FALSE),"")</f>
        <v/>
      </c>
      <c r="L31" s="20">
        <f>IF(OR(J31="",K31=""),"",J31*K31)</f>
        <v/>
      </c>
      <c r="M31" s="20" t="n"/>
      <c r="N31" s="20" t="n"/>
      <c r="O31" s="20">
        <f>IF(L31="","",L31+M31-N31)</f>
        <v/>
      </c>
      <c r="Q31" s="21" t="n"/>
      <c r="R31" s="21" t="n"/>
    </row>
    <row r="32">
      <c r="C32">
        <f>IFERROR(VLOOKUP(B32,Workers!$A:$H,2,FALSE),"")</f>
        <v/>
      </c>
      <c r="E32">
        <f>IFERROR(VLOOKUP(D32,Jobs!$A:$G,2,FALSE),"")</f>
        <v/>
      </c>
      <c r="F32" s="17" t="n"/>
      <c r="G32" s="18" t="n"/>
      <c r="H32" s="18" t="n"/>
      <c r="J32" s="19">
        <f>IF(OR(G32="",H32=""),"",MAX(0,(H32-G32)*24-(I32/60)))</f>
        <v/>
      </c>
      <c r="K32" s="20">
        <f>IFERROR(VLOOKUP(D32,Jobs!$A:$G,5,FALSE),"")</f>
        <v/>
      </c>
      <c r="L32" s="20">
        <f>IF(OR(J32="",K32=""),"",J32*K32)</f>
        <v/>
      </c>
      <c r="M32" s="20" t="n"/>
      <c r="N32" s="20" t="n"/>
      <c r="O32" s="20">
        <f>IF(L32="","",L32+M32-N32)</f>
        <v/>
      </c>
      <c r="Q32" s="21" t="n"/>
      <c r="R32" s="21" t="n"/>
    </row>
    <row r="33">
      <c r="C33">
        <f>IFERROR(VLOOKUP(B33,Workers!$A:$H,2,FALSE),"")</f>
        <v/>
      </c>
      <c r="E33">
        <f>IFERROR(VLOOKUP(D33,Jobs!$A:$G,2,FALSE),"")</f>
        <v/>
      </c>
      <c r="F33" s="17" t="n"/>
      <c r="G33" s="18" t="n"/>
      <c r="H33" s="18" t="n"/>
      <c r="J33" s="19">
        <f>IF(OR(G33="",H33=""),"",MAX(0,(H33-G33)*24-(I33/60)))</f>
        <v/>
      </c>
      <c r="K33" s="20">
        <f>IFERROR(VLOOKUP(D33,Jobs!$A:$G,5,FALSE),"")</f>
        <v/>
      </c>
      <c r="L33" s="20">
        <f>IF(OR(J33="",K33=""),"",J33*K33)</f>
        <v/>
      </c>
      <c r="M33" s="20" t="n"/>
      <c r="N33" s="20" t="n"/>
      <c r="O33" s="20">
        <f>IF(L33="","",L33+M33-N33)</f>
        <v/>
      </c>
      <c r="Q33" s="21" t="n"/>
      <c r="R33" s="21" t="n"/>
    </row>
    <row r="34">
      <c r="C34">
        <f>IFERROR(VLOOKUP(B34,Workers!$A:$H,2,FALSE),"")</f>
        <v/>
      </c>
      <c r="E34">
        <f>IFERROR(VLOOKUP(D34,Jobs!$A:$G,2,FALSE),"")</f>
        <v/>
      </c>
      <c r="F34" s="17" t="n"/>
      <c r="G34" s="18" t="n"/>
      <c r="H34" s="18" t="n"/>
      <c r="J34" s="19">
        <f>IF(OR(G34="",H34=""),"",MAX(0,(H34-G34)*24-(I34/60)))</f>
        <v/>
      </c>
      <c r="K34" s="20">
        <f>IFERROR(VLOOKUP(D34,Jobs!$A:$G,5,FALSE),"")</f>
        <v/>
      </c>
      <c r="L34" s="20">
        <f>IF(OR(J34="",K34=""),"",J34*K34)</f>
        <v/>
      </c>
      <c r="M34" s="20" t="n"/>
      <c r="N34" s="20" t="n"/>
      <c r="O34" s="20">
        <f>IF(L34="","",L34+M34-N34)</f>
        <v/>
      </c>
      <c r="Q34" s="21" t="n"/>
      <c r="R34" s="21" t="n"/>
    </row>
    <row r="35">
      <c r="C35">
        <f>IFERROR(VLOOKUP(B35,Workers!$A:$H,2,FALSE),"")</f>
        <v/>
      </c>
      <c r="E35">
        <f>IFERROR(VLOOKUP(D35,Jobs!$A:$G,2,FALSE),"")</f>
        <v/>
      </c>
      <c r="F35" s="17" t="n"/>
      <c r="G35" s="18" t="n"/>
      <c r="H35" s="18" t="n"/>
      <c r="J35" s="19">
        <f>IF(OR(G35="",H35=""),"",MAX(0,(H35-G35)*24-(I35/60)))</f>
        <v/>
      </c>
      <c r="K35" s="20">
        <f>IFERROR(VLOOKUP(D35,Jobs!$A:$G,5,FALSE),"")</f>
        <v/>
      </c>
      <c r="L35" s="20">
        <f>IF(OR(J35="",K35=""),"",J35*K35)</f>
        <v/>
      </c>
      <c r="M35" s="20" t="n"/>
      <c r="N35" s="20" t="n"/>
      <c r="O35" s="20">
        <f>IF(L35="","",L35+M35-N35)</f>
        <v/>
      </c>
      <c r="Q35" s="21" t="n"/>
      <c r="R35" s="21" t="n"/>
    </row>
    <row r="36">
      <c r="C36">
        <f>IFERROR(VLOOKUP(B36,Workers!$A:$H,2,FALSE),"")</f>
        <v/>
      </c>
      <c r="E36">
        <f>IFERROR(VLOOKUP(D36,Jobs!$A:$G,2,FALSE),"")</f>
        <v/>
      </c>
      <c r="F36" s="17" t="n"/>
      <c r="G36" s="18" t="n"/>
      <c r="H36" s="18" t="n"/>
      <c r="J36" s="19">
        <f>IF(OR(G36="",H36=""),"",MAX(0,(H36-G36)*24-(I36/60)))</f>
        <v/>
      </c>
      <c r="K36" s="20">
        <f>IFERROR(VLOOKUP(D36,Jobs!$A:$G,5,FALSE),"")</f>
        <v/>
      </c>
      <c r="L36" s="20">
        <f>IF(OR(J36="",K36=""),"",J36*K36)</f>
        <v/>
      </c>
      <c r="M36" s="20" t="n"/>
      <c r="N36" s="20" t="n"/>
      <c r="O36" s="20">
        <f>IF(L36="","",L36+M36-N36)</f>
        <v/>
      </c>
      <c r="Q36" s="21" t="n"/>
      <c r="R36" s="21" t="n"/>
    </row>
    <row r="37">
      <c r="C37">
        <f>IFERROR(VLOOKUP(B37,Workers!$A:$H,2,FALSE),"")</f>
        <v/>
      </c>
      <c r="E37">
        <f>IFERROR(VLOOKUP(D37,Jobs!$A:$G,2,FALSE),"")</f>
        <v/>
      </c>
      <c r="F37" s="17" t="n"/>
      <c r="G37" s="18" t="n"/>
      <c r="H37" s="18" t="n"/>
      <c r="J37" s="19">
        <f>IF(OR(G37="",H37=""),"",MAX(0,(H37-G37)*24-(I37/60)))</f>
        <v/>
      </c>
      <c r="K37" s="20">
        <f>IFERROR(VLOOKUP(D37,Jobs!$A:$G,5,FALSE),"")</f>
        <v/>
      </c>
      <c r="L37" s="20">
        <f>IF(OR(J37="",K37=""),"",J37*K37)</f>
        <v/>
      </c>
      <c r="M37" s="20" t="n"/>
      <c r="N37" s="20" t="n"/>
      <c r="O37" s="20">
        <f>IF(L37="","",L37+M37-N37)</f>
        <v/>
      </c>
      <c r="Q37" s="21" t="n"/>
      <c r="R37" s="21" t="n"/>
    </row>
    <row r="38">
      <c r="C38">
        <f>IFERROR(VLOOKUP(B38,Workers!$A:$H,2,FALSE),"")</f>
        <v/>
      </c>
      <c r="E38">
        <f>IFERROR(VLOOKUP(D38,Jobs!$A:$G,2,FALSE),"")</f>
        <v/>
      </c>
      <c r="F38" s="17" t="n"/>
      <c r="G38" s="18" t="n"/>
      <c r="H38" s="18" t="n"/>
      <c r="J38" s="19">
        <f>IF(OR(G38="",H38=""),"",MAX(0,(H38-G38)*24-(I38/60)))</f>
        <v/>
      </c>
      <c r="K38" s="20">
        <f>IFERROR(VLOOKUP(D38,Jobs!$A:$G,5,FALSE),"")</f>
        <v/>
      </c>
      <c r="L38" s="20">
        <f>IF(OR(J38="",K38=""),"",J38*K38)</f>
        <v/>
      </c>
      <c r="M38" s="20" t="n"/>
      <c r="N38" s="20" t="n"/>
      <c r="O38" s="20">
        <f>IF(L38="","",L38+M38-N38)</f>
        <v/>
      </c>
      <c r="Q38" s="21" t="n"/>
      <c r="R38" s="21" t="n"/>
    </row>
    <row r="39">
      <c r="C39">
        <f>IFERROR(VLOOKUP(B39,Workers!$A:$H,2,FALSE),"")</f>
        <v/>
      </c>
      <c r="E39">
        <f>IFERROR(VLOOKUP(D39,Jobs!$A:$G,2,FALSE),"")</f>
        <v/>
      </c>
      <c r="F39" s="17" t="n"/>
      <c r="G39" s="18" t="n"/>
      <c r="H39" s="18" t="n"/>
      <c r="J39" s="19">
        <f>IF(OR(G39="",H39=""),"",MAX(0,(H39-G39)*24-(I39/60)))</f>
        <v/>
      </c>
      <c r="K39" s="20">
        <f>IFERROR(VLOOKUP(D39,Jobs!$A:$G,5,FALSE),"")</f>
        <v/>
      </c>
      <c r="L39" s="20">
        <f>IF(OR(J39="",K39=""),"",J39*K39)</f>
        <v/>
      </c>
      <c r="M39" s="20" t="n"/>
      <c r="N39" s="20" t="n"/>
      <c r="O39" s="20">
        <f>IF(L39="","",L39+M39-N39)</f>
        <v/>
      </c>
      <c r="Q39" s="21" t="n"/>
      <c r="R39" s="21" t="n"/>
    </row>
    <row r="40">
      <c r="C40">
        <f>IFERROR(VLOOKUP(B40,Workers!$A:$H,2,FALSE),"")</f>
        <v/>
      </c>
      <c r="E40">
        <f>IFERROR(VLOOKUP(D40,Jobs!$A:$G,2,FALSE),"")</f>
        <v/>
      </c>
      <c r="F40" s="17" t="n"/>
      <c r="G40" s="18" t="n"/>
      <c r="H40" s="18" t="n"/>
      <c r="J40" s="19">
        <f>IF(OR(G40="",H40=""),"",MAX(0,(H40-G40)*24-(I40/60)))</f>
        <v/>
      </c>
      <c r="K40" s="20">
        <f>IFERROR(VLOOKUP(D40,Jobs!$A:$G,5,FALSE),"")</f>
        <v/>
      </c>
      <c r="L40" s="20">
        <f>IF(OR(J40="",K40=""),"",J40*K40)</f>
        <v/>
      </c>
      <c r="M40" s="20" t="n"/>
      <c r="N40" s="20" t="n"/>
      <c r="O40" s="20">
        <f>IF(L40="","",L40+M40-N40)</f>
        <v/>
      </c>
      <c r="Q40" s="21" t="n"/>
      <c r="R40" s="21" t="n"/>
    </row>
    <row r="41">
      <c r="C41">
        <f>IFERROR(VLOOKUP(B41,Workers!$A:$H,2,FALSE),"")</f>
        <v/>
      </c>
      <c r="E41">
        <f>IFERROR(VLOOKUP(D41,Jobs!$A:$G,2,FALSE),"")</f>
        <v/>
      </c>
      <c r="F41" s="17" t="n"/>
      <c r="G41" s="18" t="n"/>
      <c r="H41" s="18" t="n"/>
      <c r="J41" s="19">
        <f>IF(OR(G41="",H41=""),"",MAX(0,(H41-G41)*24-(I41/60)))</f>
        <v/>
      </c>
      <c r="K41" s="20">
        <f>IFERROR(VLOOKUP(D41,Jobs!$A:$G,5,FALSE),"")</f>
        <v/>
      </c>
      <c r="L41" s="20">
        <f>IF(OR(J41="",K41=""),"",J41*K41)</f>
        <v/>
      </c>
      <c r="M41" s="20" t="n"/>
      <c r="N41" s="20" t="n"/>
      <c r="O41" s="20">
        <f>IF(L41="","",L41+M41-N41)</f>
        <v/>
      </c>
      <c r="Q41" s="21" t="n"/>
      <c r="R41" s="21" t="n"/>
    </row>
    <row r="42">
      <c r="C42">
        <f>IFERROR(VLOOKUP(B42,Workers!$A:$H,2,FALSE),"")</f>
        <v/>
      </c>
      <c r="E42">
        <f>IFERROR(VLOOKUP(D42,Jobs!$A:$G,2,FALSE),"")</f>
        <v/>
      </c>
      <c r="F42" s="17" t="n"/>
      <c r="G42" s="18" t="n"/>
      <c r="H42" s="18" t="n"/>
      <c r="J42" s="19">
        <f>IF(OR(G42="",H42=""),"",MAX(0,(H42-G42)*24-(I42/60)))</f>
        <v/>
      </c>
      <c r="K42" s="20">
        <f>IFERROR(VLOOKUP(D42,Jobs!$A:$G,5,FALSE),"")</f>
        <v/>
      </c>
      <c r="L42" s="20">
        <f>IF(OR(J42="",K42=""),"",J42*K42)</f>
        <v/>
      </c>
      <c r="M42" s="20" t="n"/>
      <c r="N42" s="20" t="n"/>
      <c r="O42" s="20">
        <f>IF(L42="","",L42+M42-N42)</f>
        <v/>
      </c>
      <c r="Q42" s="21" t="n"/>
      <c r="R42" s="21" t="n"/>
    </row>
    <row r="43">
      <c r="C43">
        <f>IFERROR(VLOOKUP(B43,Workers!$A:$H,2,FALSE),"")</f>
        <v/>
      </c>
      <c r="E43">
        <f>IFERROR(VLOOKUP(D43,Jobs!$A:$G,2,FALSE),"")</f>
        <v/>
      </c>
      <c r="F43" s="17" t="n"/>
      <c r="G43" s="18" t="n"/>
      <c r="H43" s="18" t="n"/>
      <c r="J43" s="19">
        <f>IF(OR(G43="",H43=""),"",MAX(0,(H43-G43)*24-(I43/60)))</f>
        <v/>
      </c>
      <c r="K43" s="20">
        <f>IFERROR(VLOOKUP(D43,Jobs!$A:$G,5,FALSE),"")</f>
        <v/>
      </c>
      <c r="L43" s="20">
        <f>IF(OR(J43="",K43=""),"",J43*K43)</f>
        <v/>
      </c>
      <c r="M43" s="20" t="n"/>
      <c r="N43" s="20" t="n"/>
      <c r="O43" s="20">
        <f>IF(L43="","",L43+M43-N43)</f>
        <v/>
      </c>
      <c r="Q43" s="21" t="n"/>
      <c r="R43" s="21" t="n"/>
    </row>
    <row r="44">
      <c r="C44">
        <f>IFERROR(VLOOKUP(B44,Workers!$A:$H,2,FALSE),"")</f>
        <v/>
      </c>
      <c r="E44">
        <f>IFERROR(VLOOKUP(D44,Jobs!$A:$G,2,FALSE),"")</f>
        <v/>
      </c>
      <c r="F44" s="17" t="n"/>
      <c r="G44" s="18" t="n"/>
      <c r="H44" s="18" t="n"/>
      <c r="J44" s="19">
        <f>IF(OR(G44="",H44=""),"",MAX(0,(H44-G44)*24-(I44/60)))</f>
        <v/>
      </c>
      <c r="K44" s="20">
        <f>IFERROR(VLOOKUP(D44,Jobs!$A:$G,5,FALSE),"")</f>
        <v/>
      </c>
      <c r="L44" s="20">
        <f>IF(OR(J44="",K44=""),"",J44*K44)</f>
        <v/>
      </c>
      <c r="M44" s="20" t="n"/>
      <c r="N44" s="20" t="n"/>
      <c r="O44" s="20">
        <f>IF(L44="","",L44+M44-N44)</f>
        <v/>
      </c>
      <c r="Q44" s="21" t="n"/>
      <c r="R44" s="21" t="n"/>
    </row>
    <row r="45">
      <c r="C45">
        <f>IFERROR(VLOOKUP(B45,Workers!$A:$H,2,FALSE),"")</f>
        <v/>
      </c>
      <c r="E45">
        <f>IFERROR(VLOOKUP(D45,Jobs!$A:$G,2,FALSE),"")</f>
        <v/>
      </c>
      <c r="F45" s="17" t="n"/>
      <c r="G45" s="18" t="n"/>
      <c r="H45" s="18" t="n"/>
      <c r="J45" s="19">
        <f>IF(OR(G45="",H45=""),"",MAX(0,(H45-G45)*24-(I45/60)))</f>
        <v/>
      </c>
      <c r="K45" s="20">
        <f>IFERROR(VLOOKUP(D45,Jobs!$A:$G,5,FALSE),"")</f>
        <v/>
      </c>
      <c r="L45" s="20">
        <f>IF(OR(J45="",K45=""),"",J45*K45)</f>
        <v/>
      </c>
      <c r="M45" s="20" t="n"/>
      <c r="N45" s="20" t="n"/>
      <c r="O45" s="20">
        <f>IF(L45="","",L45+M45-N45)</f>
        <v/>
      </c>
      <c r="Q45" s="21" t="n"/>
      <c r="R45" s="21" t="n"/>
    </row>
    <row r="46">
      <c r="C46">
        <f>IFERROR(VLOOKUP(B46,Workers!$A:$H,2,FALSE),"")</f>
        <v/>
      </c>
      <c r="E46">
        <f>IFERROR(VLOOKUP(D46,Jobs!$A:$G,2,FALSE),"")</f>
        <v/>
      </c>
      <c r="F46" s="17" t="n"/>
      <c r="G46" s="18" t="n"/>
      <c r="H46" s="18" t="n"/>
      <c r="J46" s="19">
        <f>IF(OR(G46="",H46=""),"",MAX(0,(H46-G46)*24-(I46/60)))</f>
        <v/>
      </c>
      <c r="K46" s="20">
        <f>IFERROR(VLOOKUP(D46,Jobs!$A:$G,5,FALSE),"")</f>
        <v/>
      </c>
      <c r="L46" s="20">
        <f>IF(OR(J46="",K46=""),"",J46*K46)</f>
        <v/>
      </c>
      <c r="M46" s="20" t="n"/>
      <c r="N46" s="20" t="n"/>
      <c r="O46" s="20">
        <f>IF(L46="","",L46+M46-N46)</f>
        <v/>
      </c>
      <c r="Q46" s="21" t="n"/>
      <c r="R46" s="21" t="n"/>
    </row>
    <row r="47">
      <c r="C47">
        <f>IFERROR(VLOOKUP(B47,Workers!$A:$H,2,FALSE),"")</f>
        <v/>
      </c>
      <c r="E47">
        <f>IFERROR(VLOOKUP(D47,Jobs!$A:$G,2,FALSE),"")</f>
        <v/>
      </c>
      <c r="F47" s="17" t="n"/>
      <c r="G47" s="18" t="n"/>
      <c r="H47" s="18" t="n"/>
      <c r="J47" s="19">
        <f>IF(OR(G47="",H47=""),"",MAX(0,(H47-G47)*24-(I47/60)))</f>
        <v/>
      </c>
      <c r="K47" s="20">
        <f>IFERROR(VLOOKUP(D47,Jobs!$A:$G,5,FALSE),"")</f>
        <v/>
      </c>
      <c r="L47" s="20">
        <f>IF(OR(J47="",K47=""),"",J47*K47)</f>
        <v/>
      </c>
      <c r="M47" s="20" t="n"/>
      <c r="N47" s="20" t="n"/>
      <c r="O47" s="20">
        <f>IF(L47="","",L47+M47-N47)</f>
        <v/>
      </c>
      <c r="Q47" s="21" t="n"/>
      <c r="R47" s="21" t="n"/>
    </row>
    <row r="48">
      <c r="C48">
        <f>IFERROR(VLOOKUP(B48,Workers!$A:$H,2,FALSE),"")</f>
        <v/>
      </c>
      <c r="E48">
        <f>IFERROR(VLOOKUP(D48,Jobs!$A:$G,2,FALSE),"")</f>
        <v/>
      </c>
      <c r="F48" s="17" t="n"/>
      <c r="G48" s="18" t="n"/>
      <c r="H48" s="18" t="n"/>
      <c r="J48" s="19">
        <f>IF(OR(G48="",H48=""),"",MAX(0,(H48-G48)*24-(I48/60)))</f>
        <v/>
      </c>
      <c r="K48" s="20">
        <f>IFERROR(VLOOKUP(D48,Jobs!$A:$G,5,FALSE),"")</f>
        <v/>
      </c>
      <c r="L48" s="20">
        <f>IF(OR(J48="",K48=""),"",J48*K48)</f>
        <v/>
      </c>
      <c r="M48" s="20" t="n"/>
      <c r="N48" s="20" t="n"/>
      <c r="O48" s="20">
        <f>IF(L48="","",L48+M48-N48)</f>
        <v/>
      </c>
      <c r="Q48" s="21" t="n"/>
      <c r="R48" s="21" t="n"/>
    </row>
    <row r="49">
      <c r="C49">
        <f>IFERROR(VLOOKUP(B49,Workers!$A:$H,2,FALSE),"")</f>
        <v/>
      </c>
      <c r="E49">
        <f>IFERROR(VLOOKUP(D49,Jobs!$A:$G,2,FALSE),"")</f>
        <v/>
      </c>
      <c r="F49" s="17" t="n"/>
      <c r="G49" s="18" t="n"/>
      <c r="H49" s="18" t="n"/>
      <c r="J49" s="19">
        <f>IF(OR(G49="",H49=""),"",MAX(0,(H49-G49)*24-(I49/60)))</f>
        <v/>
      </c>
      <c r="K49" s="20">
        <f>IFERROR(VLOOKUP(D49,Jobs!$A:$G,5,FALSE),"")</f>
        <v/>
      </c>
      <c r="L49" s="20">
        <f>IF(OR(J49="",K49=""),"",J49*K49)</f>
        <v/>
      </c>
      <c r="M49" s="20" t="n"/>
      <c r="N49" s="20" t="n"/>
      <c r="O49" s="20">
        <f>IF(L49="","",L49+M49-N49)</f>
        <v/>
      </c>
      <c r="Q49" s="21" t="n"/>
      <c r="R49" s="21" t="n"/>
    </row>
    <row r="50">
      <c r="C50">
        <f>IFERROR(VLOOKUP(B50,Workers!$A:$H,2,FALSE),"")</f>
        <v/>
      </c>
      <c r="E50">
        <f>IFERROR(VLOOKUP(D50,Jobs!$A:$G,2,FALSE),"")</f>
        <v/>
      </c>
      <c r="F50" s="17" t="n"/>
      <c r="G50" s="18" t="n"/>
      <c r="H50" s="18" t="n"/>
      <c r="J50" s="19">
        <f>IF(OR(G50="",H50=""),"",MAX(0,(H50-G50)*24-(I50/60)))</f>
        <v/>
      </c>
      <c r="K50" s="20">
        <f>IFERROR(VLOOKUP(D50,Jobs!$A:$G,5,FALSE),"")</f>
        <v/>
      </c>
      <c r="L50" s="20">
        <f>IF(OR(J50="",K50=""),"",J50*K50)</f>
        <v/>
      </c>
      <c r="M50" s="20" t="n"/>
      <c r="N50" s="20" t="n"/>
      <c r="O50" s="20">
        <f>IF(L50="","",L50+M50-N50)</f>
        <v/>
      </c>
      <c r="Q50" s="21" t="n"/>
      <c r="R50" s="21" t="n"/>
    </row>
    <row r="51">
      <c r="C51">
        <f>IFERROR(VLOOKUP(B51,Workers!$A:$H,2,FALSE),"")</f>
        <v/>
      </c>
      <c r="E51">
        <f>IFERROR(VLOOKUP(D51,Jobs!$A:$G,2,FALSE),"")</f>
        <v/>
      </c>
      <c r="F51" s="17" t="n"/>
      <c r="G51" s="18" t="n"/>
      <c r="H51" s="18" t="n"/>
      <c r="J51" s="19">
        <f>IF(OR(G51="",H51=""),"",MAX(0,(H51-G51)*24-(I51/60)))</f>
        <v/>
      </c>
      <c r="K51" s="20">
        <f>IFERROR(VLOOKUP(D51,Jobs!$A:$G,5,FALSE),"")</f>
        <v/>
      </c>
      <c r="L51" s="20">
        <f>IF(OR(J51="",K51=""),"",J51*K51)</f>
        <v/>
      </c>
      <c r="M51" s="20" t="n"/>
      <c r="N51" s="20" t="n"/>
      <c r="O51" s="20">
        <f>IF(L51="","",L51+M51-N51)</f>
        <v/>
      </c>
      <c r="Q51" s="21" t="n"/>
      <c r="R51" s="21" t="n"/>
    </row>
    <row r="52">
      <c r="C52">
        <f>IFERROR(VLOOKUP(B52,Workers!$A:$H,2,FALSE),"")</f>
        <v/>
      </c>
      <c r="E52">
        <f>IFERROR(VLOOKUP(D52,Jobs!$A:$G,2,FALSE),"")</f>
        <v/>
      </c>
      <c r="F52" s="17" t="n"/>
      <c r="G52" s="18" t="n"/>
      <c r="H52" s="18" t="n"/>
      <c r="J52" s="19">
        <f>IF(OR(G52="",H52=""),"",MAX(0,(H52-G52)*24-(I52/60)))</f>
        <v/>
      </c>
      <c r="K52" s="20">
        <f>IFERROR(VLOOKUP(D52,Jobs!$A:$G,5,FALSE),"")</f>
        <v/>
      </c>
      <c r="L52" s="20">
        <f>IF(OR(J52="",K52=""),"",J52*K52)</f>
        <v/>
      </c>
      <c r="M52" s="20" t="n"/>
      <c r="N52" s="20" t="n"/>
      <c r="O52" s="20">
        <f>IF(L52="","",L52+M52-N52)</f>
        <v/>
      </c>
      <c r="Q52" s="21" t="n"/>
      <c r="R52" s="21" t="n"/>
    </row>
    <row r="53">
      <c r="C53">
        <f>IFERROR(VLOOKUP(B53,Workers!$A:$H,2,FALSE),"")</f>
        <v/>
      </c>
      <c r="E53">
        <f>IFERROR(VLOOKUP(D53,Jobs!$A:$G,2,FALSE),"")</f>
        <v/>
      </c>
      <c r="F53" s="17" t="n"/>
      <c r="G53" s="18" t="n"/>
      <c r="H53" s="18" t="n"/>
      <c r="J53" s="19">
        <f>IF(OR(G53="",H53=""),"",MAX(0,(H53-G53)*24-(I53/60)))</f>
        <v/>
      </c>
      <c r="K53" s="20">
        <f>IFERROR(VLOOKUP(D53,Jobs!$A:$G,5,FALSE),"")</f>
        <v/>
      </c>
      <c r="L53" s="20">
        <f>IF(OR(J53="",K53=""),"",J53*K53)</f>
        <v/>
      </c>
      <c r="M53" s="20" t="n"/>
      <c r="N53" s="20" t="n"/>
      <c r="O53" s="20">
        <f>IF(L53="","",L53+M53-N53)</f>
        <v/>
      </c>
      <c r="Q53" s="21" t="n"/>
      <c r="R53" s="21" t="n"/>
    </row>
    <row r="54">
      <c r="C54">
        <f>IFERROR(VLOOKUP(B54,Workers!$A:$H,2,FALSE),"")</f>
        <v/>
      </c>
      <c r="E54">
        <f>IFERROR(VLOOKUP(D54,Jobs!$A:$G,2,FALSE),"")</f>
        <v/>
      </c>
      <c r="F54" s="17" t="n"/>
      <c r="G54" s="18" t="n"/>
      <c r="H54" s="18" t="n"/>
      <c r="J54" s="19">
        <f>IF(OR(G54="",H54=""),"",MAX(0,(H54-G54)*24-(I54/60)))</f>
        <v/>
      </c>
      <c r="K54" s="20">
        <f>IFERROR(VLOOKUP(D54,Jobs!$A:$G,5,FALSE),"")</f>
        <v/>
      </c>
      <c r="L54" s="20">
        <f>IF(OR(J54="",K54=""),"",J54*K54)</f>
        <v/>
      </c>
      <c r="M54" s="20" t="n"/>
      <c r="N54" s="20" t="n"/>
      <c r="O54" s="20">
        <f>IF(L54="","",L54+M54-N54)</f>
        <v/>
      </c>
      <c r="Q54" s="21" t="n"/>
      <c r="R54" s="21" t="n"/>
    </row>
    <row r="55">
      <c r="C55">
        <f>IFERROR(VLOOKUP(B55,Workers!$A:$H,2,FALSE),"")</f>
        <v/>
      </c>
      <c r="E55">
        <f>IFERROR(VLOOKUP(D55,Jobs!$A:$G,2,FALSE),"")</f>
        <v/>
      </c>
      <c r="F55" s="17" t="n"/>
      <c r="G55" s="18" t="n"/>
      <c r="H55" s="18" t="n"/>
      <c r="J55" s="19">
        <f>IF(OR(G55="",H55=""),"",MAX(0,(H55-G55)*24-(I55/60)))</f>
        <v/>
      </c>
      <c r="K55" s="20">
        <f>IFERROR(VLOOKUP(D55,Jobs!$A:$G,5,FALSE),"")</f>
        <v/>
      </c>
      <c r="L55" s="20">
        <f>IF(OR(J55="",K55=""),"",J55*K55)</f>
        <v/>
      </c>
      <c r="M55" s="20" t="n"/>
      <c r="N55" s="20" t="n"/>
      <c r="O55" s="20">
        <f>IF(L55="","",L55+M55-N55)</f>
        <v/>
      </c>
      <c r="Q55" s="21" t="n"/>
      <c r="R55" s="21" t="n"/>
    </row>
    <row r="56">
      <c r="C56">
        <f>IFERROR(VLOOKUP(B56,Workers!$A:$H,2,FALSE),"")</f>
        <v/>
      </c>
      <c r="E56">
        <f>IFERROR(VLOOKUP(D56,Jobs!$A:$G,2,FALSE),"")</f>
        <v/>
      </c>
      <c r="F56" s="17" t="n"/>
      <c r="G56" s="18" t="n"/>
      <c r="H56" s="18" t="n"/>
      <c r="J56" s="19">
        <f>IF(OR(G56="",H56=""),"",MAX(0,(H56-G56)*24-(I56/60)))</f>
        <v/>
      </c>
      <c r="K56" s="20">
        <f>IFERROR(VLOOKUP(D56,Jobs!$A:$G,5,FALSE),"")</f>
        <v/>
      </c>
      <c r="L56" s="20">
        <f>IF(OR(J56="",K56=""),"",J56*K56)</f>
        <v/>
      </c>
      <c r="M56" s="20" t="n"/>
      <c r="N56" s="20" t="n"/>
      <c r="O56" s="20">
        <f>IF(L56="","",L56+M56-N56)</f>
        <v/>
      </c>
      <c r="Q56" s="21" t="n"/>
      <c r="R56" s="21" t="n"/>
    </row>
    <row r="57">
      <c r="C57">
        <f>IFERROR(VLOOKUP(B57,Workers!$A:$H,2,FALSE),"")</f>
        <v/>
      </c>
      <c r="E57">
        <f>IFERROR(VLOOKUP(D57,Jobs!$A:$G,2,FALSE),"")</f>
        <v/>
      </c>
      <c r="F57" s="17" t="n"/>
      <c r="G57" s="18" t="n"/>
      <c r="H57" s="18" t="n"/>
      <c r="J57" s="19">
        <f>IF(OR(G57="",H57=""),"",MAX(0,(H57-G57)*24-(I57/60)))</f>
        <v/>
      </c>
      <c r="K57" s="20">
        <f>IFERROR(VLOOKUP(D57,Jobs!$A:$G,5,FALSE),"")</f>
        <v/>
      </c>
      <c r="L57" s="20">
        <f>IF(OR(J57="",K57=""),"",J57*K57)</f>
        <v/>
      </c>
      <c r="M57" s="20" t="n"/>
      <c r="N57" s="20" t="n"/>
      <c r="O57" s="20">
        <f>IF(L57="","",L57+M57-N57)</f>
        <v/>
      </c>
      <c r="Q57" s="21" t="n"/>
      <c r="R57" s="21" t="n"/>
    </row>
    <row r="58">
      <c r="C58">
        <f>IFERROR(VLOOKUP(B58,Workers!$A:$H,2,FALSE),"")</f>
        <v/>
      </c>
      <c r="E58">
        <f>IFERROR(VLOOKUP(D58,Jobs!$A:$G,2,FALSE),"")</f>
        <v/>
      </c>
      <c r="F58" s="17" t="n"/>
      <c r="G58" s="18" t="n"/>
      <c r="H58" s="18" t="n"/>
      <c r="J58" s="19">
        <f>IF(OR(G58="",H58=""),"",MAX(0,(H58-G58)*24-(I58/60)))</f>
        <v/>
      </c>
      <c r="K58" s="20">
        <f>IFERROR(VLOOKUP(D58,Jobs!$A:$G,5,FALSE),"")</f>
        <v/>
      </c>
      <c r="L58" s="20">
        <f>IF(OR(J58="",K58=""),"",J58*K58)</f>
        <v/>
      </c>
      <c r="M58" s="20" t="n"/>
      <c r="N58" s="20" t="n"/>
      <c r="O58" s="20">
        <f>IF(L58="","",L58+M58-N58)</f>
        <v/>
      </c>
      <c r="Q58" s="21" t="n"/>
      <c r="R58" s="21" t="n"/>
    </row>
    <row r="59">
      <c r="C59">
        <f>IFERROR(VLOOKUP(B59,Workers!$A:$H,2,FALSE),"")</f>
        <v/>
      </c>
      <c r="E59">
        <f>IFERROR(VLOOKUP(D59,Jobs!$A:$G,2,FALSE),"")</f>
        <v/>
      </c>
      <c r="F59" s="17" t="n"/>
      <c r="G59" s="18" t="n"/>
      <c r="H59" s="18" t="n"/>
      <c r="J59" s="19">
        <f>IF(OR(G59="",H59=""),"",MAX(0,(H59-G59)*24-(I59/60)))</f>
        <v/>
      </c>
      <c r="K59" s="20">
        <f>IFERROR(VLOOKUP(D59,Jobs!$A:$G,5,FALSE),"")</f>
        <v/>
      </c>
      <c r="L59" s="20">
        <f>IF(OR(J59="",K59=""),"",J59*K59)</f>
        <v/>
      </c>
      <c r="M59" s="20" t="n"/>
      <c r="N59" s="20" t="n"/>
      <c r="O59" s="20">
        <f>IF(L59="","",L59+M59-N59)</f>
        <v/>
      </c>
      <c r="Q59" s="21" t="n"/>
      <c r="R59" s="21" t="n"/>
    </row>
    <row r="60">
      <c r="C60">
        <f>IFERROR(VLOOKUP(B60,Workers!$A:$H,2,FALSE),"")</f>
        <v/>
      </c>
      <c r="E60">
        <f>IFERROR(VLOOKUP(D60,Jobs!$A:$G,2,FALSE),"")</f>
        <v/>
      </c>
      <c r="F60" s="17" t="n"/>
      <c r="G60" s="18" t="n"/>
      <c r="H60" s="18" t="n"/>
      <c r="J60" s="19">
        <f>IF(OR(G60="",H60=""),"",MAX(0,(H60-G60)*24-(I60/60)))</f>
        <v/>
      </c>
      <c r="K60" s="20">
        <f>IFERROR(VLOOKUP(D60,Jobs!$A:$G,5,FALSE),"")</f>
        <v/>
      </c>
      <c r="L60" s="20">
        <f>IF(OR(J60="",K60=""),"",J60*K60)</f>
        <v/>
      </c>
      <c r="M60" s="20" t="n"/>
      <c r="N60" s="20" t="n"/>
      <c r="O60" s="20">
        <f>IF(L60="","",L60+M60-N60)</f>
        <v/>
      </c>
      <c r="Q60" s="21" t="n"/>
      <c r="R60" s="21" t="n"/>
    </row>
    <row r="61">
      <c r="C61">
        <f>IFERROR(VLOOKUP(B61,Workers!$A:$H,2,FALSE),"")</f>
        <v/>
      </c>
      <c r="E61">
        <f>IFERROR(VLOOKUP(D61,Jobs!$A:$G,2,FALSE),"")</f>
        <v/>
      </c>
      <c r="F61" s="17" t="n"/>
      <c r="G61" s="18" t="n"/>
      <c r="H61" s="18" t="n"/>
      <c r="J61" s="19">
        <f>IF(OR(G61="",H61=""),"",MAX(0,(H61-G61)*24-(I61/60)))</f>
        <v/>
      </c>
      <c r="K61" s="20">
        <f>IFERROR(VLOOKUP(D61,Jobs!$A:$G,5,FALSE),"")</f>
        <v/>
      </c>
      <c r="L61" s="20">
        <f>IF(OR(J61="",K61=""),"",J61*K61)</f>
        <v/>
      </c>
      <c r="M61" s="20" t="n"/>
      <c r="N61" s="20" t="n"/>
      <c r="O61" s="20">
        <f>IF(L61="","",L61+M61-N61)</f>
        <v/>
      </c>
      <c r="Q61" s="21" t="n"/>
      <c r="R61" s="21" t="n"/>
    </row>
    <row r="62">
      <c r="C62">
        <f>IFERROR(VLOOKUP(B62,Workers!$A:$H,2,FALSE),"")</f>
        <v/>
      </c>
      <c r="E62">
        <f>IFERROR(VLOOKUP(D62,Jobs!$A:$G,2,FALSE),"")</f>
        <v/>
      </c>
      <c r="F62" s="17" t="n"/>
      <c r="G62" s="18" t="n"/>
      <c r="H62" s="18" t="n"/>
      <c r="J62" s="19">
        <f>IF(OR(G62="",H62=""),"",MAX(0,(H62-G62)*24-(I62/60)))</f>
        <v/>
      </c>
      <c r="K62" s="20">
        <f>IFERROR(VLOOKUP(D62,Jobs!$A:$G,5,FALSE),"")</f>
        <v/>
      </c>
      <c r="L62" s="20">
        <f>IF(OR(J62="",K62=""),"",J62*K62)</f>
        <v/>
      </c>
      <c r="M62" s="20" t="n"/>
      <c r="N62" s="20" t="n"/>
      <c r="O62" s="20">
        <f>IF(L62="","",L62+M62-N62)</f>
        <v/>
      </c>
      <c r="Q62" s="21" t="n"/>
      <c r="R62" s="21" t="n"/>
    </row>
    <row r="63">
      <c r="C63">
        <f>IFERROR(VLOOKUP(B63,Workers!$A:$H,2,FALSE),"")</f>
        <v/>
      </c>
      <c r="E63">
        <f>IFERROR(VLOOKUP(D63,Jobs!$A:$G,2,FALSE),"")</f>
        <v/>
      </c>
      <c r="F63" s="17" t="n"/>
      <c r="G63" s="18" t="n"/>
      <c r="H63" s="18" t="n"/>
      <c r="J63" s="19">
        <f>IF(OR(G63="",H63=""),"",MAX(0,(H63-G63)*24-(I63/60)))</f>
        <v/>
      </c>
      <c r="K63" s="20">
        <f>IFERROR(VLOOKUP(D63,Jobs!$A:$G,5,FALSE),"")</f>
        <v/>
      </c>
      <c r="L63" s="20">
        <f>IF(OR(J63="",K63=""),"",J63*K63)</f>
        <v/>
      </c>
      <c r="M63" s="20" t="n"/>
      <c r="N63" s="20" t="n"/>
      <c r="O63" s="20">
        <f>IF(L63="","",L63+M63-N63)</f>
        <v/>
      </c>
      <c r="Q63" s="21" t="n"/>
      <c r="R63" s="21" t="n"/>
    </row>
    <row r="64">
      <c r="C64">
        <f>IFERROR(VLOOKUP(B64,Workers!$A:$H,2,FALSE),"")</f>
        <v/>
      </c>
      <c r="E64">
        <f>IFERROR(VLOOKUP(D64,Jobs!$A:$G,2,FALSE),"")</f>
        <v/>
      </c>
      <c r="F64" s="17" t="n"/>
      <c r="G64" s="18" t="n"/>
      <c r="H64" s="18" t="n"/>
      <c r="J64" s="19">
        <f>IF(OR(G64="",H64=""),"",MAX(0,(H64-G64)*24-(I64/60)))</f>
        <v/>
      </c>
      <c r="K64" s="20">
        <f>IFERROR(VLOOKUP(D64,Jobs!$A:$G,5,FALSE),"")</f>
        <v/>
      </c>
      <c r="L64" s="20">
        <f>IF(OR(J64="",K64=""),"",J64*K64)</f>
        <v/>
      </c>
      <c r="M64" s="20" t="n"/>
      <c r="N64" s="20" t="n"/>
      <c r="O64" s="20">
        <f>IF(L64="","",L64+M64-N64)</f>
        <v/>
      </c>
      <c r="Q64" s="21" t="n"/>
      <c r="R64" s="21" t="n"/>
    </row>
    <row r="65">
      <c r="C65">
        <f>IFERROR(VLOOKUP(B65,Workers!$A:$H,2,FALSE),"")</f>
        <v/>
      </c>
      <c r="E65">
        <f>IFERROR(VLOOKUP(D65,Jobs!$A:$G,2,FALSE),"")</f>
        <v/>
      </c>
      <c r="F65" s="17" t="n"/>
      <c r="G65" s="18" t="n"/>
      <c r="H65" s="18" t="n"/>
      <c r="J65" s="19">
        <f>IF(OR(G65="",H65=""),"",MAX(0,(H65-G65)*24-(I65/60)))</f>
        <v/>
      </c>
      <c r="K65" s="20">
        <f>IFERROR(VLOOKUP(D65,Jobs!$A:$G,5,FALSE),"")</f>
        <v/>
      </c>
      <c r="L65" s="20">
        <f>IF(OR(J65="",K65=""),"",J65*K65)</f>
        <v/>
      </c>
      <c r="M65" s="20" t="n"/>
      <c r="N65" s="20" t="n"/>
      <c r="O65" s="20">
        <f>IF(L65="","",L65+M65-N65)</f>
        <v/>
      </c>
      <c r="Q65" s="21" t="n"/>
      <c r="R65" s="21" t="n"/>
    </row>
    <row r="66">
      <c r="C66">
        <f>IFERROR(VLOOKUP(B66,Workers!$A:$H,2,FALSE),"")</f>
        <v/>
      </c>
      <c r="E66">
        <f>IFERROR(VLOOKUP(D66,Jobs!$A:$G,2,FALSE),"")</f>
        <v/>
      </c>
      <c r="F66" s="17" t="n"/>
      <c r="G66" s="18" t="n"/>
      <c r="H66" s="18" t="n"/>
      <c r="J66" s="19">
        <f>IF(OR(G66="",H66=""),"",MAX(0,(H66-G66)*24-(I66/60)))</f>
        <v/>
      </c>
      <c r="K66" s="20">
        <f>IFERROR(VLOOKUP(D66,Jobs!$A:$G,5,FALSE),"")</f>
        <v/>
      </c>
      <c r="L66" s="20">
        <f>IF(OR(J66="",K66=""),"",J66*K66)</f>
        <v/>
      </c>
      <c r="M66" s="20" t="n"/>
      <c r="N66" s="20" t="n"/>
      <c r="O66" s="20">
        <f>IF(L66="","",L66+M66-N66)</f>
        <v/>
      </c>
      <c r="Q66" s="21" t="n"/>
      <c r="R66" s="21" t="n"/>
    </row>
    <row r="67">
      <c r="C67">
        <f>IFERROR(VLOOKUP(B67,Workers!$A:$H,2,FALSE),"")</f>
        <v/>
      </c>
      <c r="E67">
        <f>IFERROR(VLOOKUP(D67,Jobs!$A:$G,2,FALSE),"")</f>
        <v/>
      </c>
      <c r="F67" s="17" t="n"/>
      <c r="G67" s="18" t="n"/>
      <c r="H67" s="18" t="n"/>
      <c r="J67" s="19">
        <f>IF(OR(G67="",H67=""),"",MAX(0,(H67-G67)*24-(I67/60)))</f>
        <v/>
      </c>
      <c r="K67" s="20">
        <f>IFERROR(VLOOKUP(D67,Jobs!$A:$G,5,FALSE),"")</f>
        <v/>
      </c>
      <c r="L67" s="20">
        <f>IF(OR(J67="",K67=""),"",J67*K67)</f>
        <v/>
      </c>
      <c r="M67" s="20" t="n"/>
      <c r="N67" s="20" t="n"/>
      <c r="O67" s="20">
        <f>IF(L67="","",L67+M67-N67)</f>
        <v/>
      </c>
      <c r="Q67" s="21" t="n"/>
      <c r="R67" s="21" t="n"/>
    </row>
    <row r="68">
      <c r="C68">
        <f>IFERROR(VLOOKUP(B68,Workers!$A:$H,2,FALSE),"")</f>
        <v/>
      </c>
      <c r="E68">
        <f>IFERROR(VLOOKUP(D68,Jobs!$A:$G,2,FALSE),"")</f>
        <v/>
      </c>
      <c r="F68" s="17" t="n"/>
      <c r="G68" s="18" t="n"/>
      <c r="H68" s="18" t="n"/>
      <c r="J68" s="19">
        <f>IF(OR(G68="",H68=""),"",MAX(0,(H68-G68)*24-(I68/60)))</f>
        <v/>
      </c>
      <c r="K68" s="20">
        <f>IFERROR(VLOOKUP(D68,Jobs!$A:$G,5,FALSE),"")</f>
        <v/>
      </c>
      <c r="L68" s="20">
        <f>IF(OR(J68="",K68=""),"",J68*K68)</f>
        <v/>
      </c>
      <c r="M68" s="20" t="n"/>
      <c r="N68" s="20" t="n"/>
      <c r="O68" s="20">
        <f>IF(L68="","",L68+M68-N68)</f>
        <v/>
      </c>
      <c r="Q68" s="21" t="n"/>
      <c r="R68" s="21" t="n"/>
    </row>
    <row r="69">
      <c r="C69">
        <f>IFERROR(VLOOKUP(B69,Workers!$A:$H,2,FALSE),"")</f>
        <v/>
      </c>
      <c r="E69">
        <f>IFERROR(VLOOKUP(D69,Jobs!$A:$G,2,FALSE),"")</f>
        <v/>
      </c>
      <c r="F69" s="17" t="n"/>
      <c r="G69" s="18" t="n"/>
      <c r="H69" s="18" t="n"/>
      <c r="J69" s="19">
        <f>IF(OR(G69="",H69=""),"",MAX(0,(H69-G69)*24-(I69/60)))</f>
        <v/>
      </c>
      <c r="K69" s="20">
        <f>IFERROR(VLOOKUP(D69,Jobs!$A:$G,5,FALSE),"")</f>
        <v/>
      </c>
      <c r="L69" s="20">
        <f>IF(OR(J69="",K69=""),"",J69*K69)</f>
        <v/>
      </c>
      <c r="M69" s="20" t="n"/>
      <c r="N69" s="20" t="n"/>
      <c r="O69" s="20">
        <f>IF(L69="","",L69+M69-N69)</f>
        <v/>
      </c>
      <c r="Q69" s="21" t="n"/>
      <c r="R69" s="21" t="n"/>
    </row>
    <row r="70">
      <c r="C70">
        <f>IFERROR(VLOOKUP(B70,Workers!$A:$H,2,FALSE),"")</f>
        <v/>
      </c>
      <c r="E70">
        <f>IFERROR(VLOOKUP(D70,Jobs!$A:$G,2,FALSE),"")</f>
        <v/>
      </c>
      <c r="F70" s="17" t="n"/>
      <c r="G70" s="18" t="n"/>
      <c r="H70" s="18" t="n"/>
      <c r="J70" s="19">
        <f>IF(OR(G70="",H70=""),"",MAX(0,(H70-G70)*24-(I70/60)))</f>
        <v/>
      </c>
      <c r="K70" s="20">
        <f>IFERROR(VLOOKUP(D70,Jobs!$A:$G,5,FALSE),"")</f>
        <v/>
      </c>
      <c r="L70" s="20">
        <f>IF(OR(J70="",K70=""),"",J70*K70)</f>
        <v/>
      </c>
      <c r="M70" s="20" t="n"/>
      <c r="N70" s="20" t="n"/>
      <c r="O70" s="20">
        <f>IF(L70="","",L70+M70-N70)</f>
        <v/>
      </c>
      <c r="Q70" s="21" t="n"/>
      <c r="R70" s="21" t="n"/>
    </row>
    <row r="71">
      <c r="C71">
        <f>IFERROR(VLOOKUP(B71,Workers!$A:$H,2,FALSE),"")</f>
        <v/>
      </c>
      <c r="E71">
        <f>IFERROR(VLOOKUP(D71,Jobs!$A:$G,2,FALSE),"")</f>
        <v/>
      </c>
      <c r="F71" s="17" t="n"/>
      <c r="G71" s="18" t="n"/>
      <c r="H71" s="18" t="n"/>
      <c r="J71" s="19">
        <f>IF(OR(G71="",H71=""),"",MAX(0,(H71-G71)*24-(I71/60)))</f>
        <v/>
      </c>
      <c r="K71" s="20">
        <f>IFERROR(VLOOKUP(D71,Jobs!$A:$G,5,FALSE),"")</f>
        <v/>
      </c>
      <c r="L71" s="20">
        <f>IF(OR(J71="",K71=""),"",J71*K71)</f>
        <v/>
      </c>
      <c r="M71" s="20" t="n"/>
      <c r="N71" s="20" t="n"/>
      <c r="O71" s="20">
        <f>IF(L71="","",L71+M71-N71)</f>
        <v/>
      </c>
      <c r="Q71" s="21" t="n"/>
      <c r="R71" s="21" t="n"/>
    </row>
    <row r="72">
      <c r="C72">
        <f>IFERROR(VLOOKUP(B72,Workers!$A:$H,2,FALSE),"")</f>
        <v/>
      </c>
      <c r="E72">
        <f>IFERROR(VLOOKUP(D72,Jobs!$A:$G,2,FALSE),"")</f>
        <v/>
      </c>
      <c r="F72" s="17" t="n"/>
      <c r="G72" s="18" t="n"/>
      <c r="H72" s="18" t="n"/>
      <c r="J72" s="19">
        <f>IF(OR(G72="",H72=""),"",MAX(0,(H72-G72)*24-(I72/60)))</f>
        <v/>
      </c>
      <c r="K72" s="20">
        <f>IFERROR(VLOOKUP(D72,Jobs!$A:$G,5,FALSE),"")</f>
        <v/>
      </c>
      <c r="L72" s="20">
        <f>IF(OR(J72="",K72=""),"",J72*K72)</f>
        <v/>
      </c>
      <c r="M72" s="20" t="n"/>
      <c r="N72" s="20" t="n"/>
      <c r="O72" s="20">
        <f>IF(L72="","",L72+M72-N72)</f>
        <v/>
      </c>
      <c r="Q72" s="21" t="n"/>
      <c r="R72" s="21" t="n"/>
    </row>
    <row r="73">
      <c r="C73">
        <f>IFERROR(VLOOKUP(B73,Workers!$A:$H,2,FALSE),"")</f>
        <v/>
      </c>
      <c r="E73">
        <f>IFERROR(VLOOKUP(D73,Jobs!$A:$G,2,FALSE),"")</f>
        <v/>
      </c>
      <c r="F73" s="17" t="n"/>
      <c r="G73" s="18" t="n"/>
      <c r="H73" s="18" t="n"/>
      <c r="J73" s="19">
        <f>IF(OR(G73="",H73=""),"",MAX(0,(H73-G73)*24-(I73/60)))</f>
        <v/>
      </c>
      <c r="K73" s="20">
        <f>IFERROR(VLOOKUP(D73,Jobs!$A:$G,5,FALSE),"")</f>
        <v/>
      </c>
      <c r="L73" s="20">
        <f>IF(OR(J73="",K73=""),"",J73*K73)</f>
        <v/>
      </c>
      <c r="M73" s="20" t="n"/>
      <c r="N73" s="20" t="n"/>
      <c r="O73" s="20">
        <f>IF(L73="","",L73+M73-N73)</f>
        <v/>
      </c>
      <c r="Q73" s="21" t="n"/>
      <c r="R73" s="21" t="n"/>
    </row>
    <row r="74">
      <c r="C74">
        <f>IFERROR(VLOOKUP(B74,Workers!$A:$H,2,FALSE),"")</f>
        <v/>
      </c>
      <c r="E74">
        <f>IFERROR(VLOOKUP(D74,Jobs!$A:$G,2,FALSE),"")</f>
        <v/>
      </c>
      <c r="F74" s="17" t="n"/>
      <c r="G74" s="18" t="n"/>
      <c r="H74" s="18" t="n"/>
      <c r="J74" s="19">
        <f>IF(OR(G74="",H74=""),"",MAX(0,(H74-G74)*24-(I74/60)))</f>
        <v/>
      </c>
      <c r="K74" s="20">
        <f>IFERROR(VLOOKUP(D74,Jobs!$A:$G,5,FALSE),"")</f>
        <v/>
      </c>
      <c r="L74" s="20">
        <f>IF(OR(J74="",K74=""),"",J74*K74)</f>
        <v/>
      </c>
      <c r="M74" s="20" t="n"/>
      <c r="N74" s="20" t="n"/>
      <c r="O74" s="20">
        <f>IF(L74="","",L74+M74-N74)</f>
        <v/>
      </c>
      <c r="Q74" s="21" t="n"/>
      <c r="R74" s="21" t="n"/>
    </row>
    <row r="75">
      <c r="C75">
        <f>IFERROR(VLOOKUP(B75,Workers!$A:$H,2,FALSE),"")</f>
        <v/>
      </c>
      <c r="E75">
        <f>IFERROR(VLOOKUP(D75,Jobs!$A:$G,2,FALSE),"")</f>
        <v/>
      </c>
      <c r="F75" s="17" t="n"/>
      <c r="G75" s="18" t="n"/>
      <c r="H75" s="18" t="n"/>
      <c r="J75" s="19">
        <f>IF(OR(G75="",H75=""),"",MAX(0,(H75-G75)*24-(I75/60)))</f>
        <v/>
      </c>
      <c r="K75" s="20">
        <f>IFERROR(VLOOKUP(D75,Jobs!$A:$G,5,FALSE),"")</f>
        <v/>
      </c>
      <c r="L75" s="20">
        <f>IF(OR(J75="",K75=""),"",J75*K75)</f>
        <v/>
      </c>
      <c r="M75" s="20" t="n"/>
      <c r="N75" s="20" t="n"/>
      <c r="O75" s="20">
        <f>IF(L75="","",L75+M75-N75)</f>
        <v/>
      </c>
      <c r="Q75" s="21" t="n"/>
      <c r="R75" s="21" t="n"/>
    </row>
    <row r="76">
      <c r="C76">
        <f>IFERROR(VLOOKUP(B76,Workers!$A:$H,2,FALSE),"")</f>
        <v/>
      </c>
      <c r="E76">
        <f>IFERROR(VLOOKUP(D76,Jobs!$A:$G,2,FALSE),"")</f>
        <v/>
      </c>
      <c r="F76" s="17" t="n"/>
      <c r="G76" s="18" t="n"/>
      <c r="H76" s="18" t="n"/>
      <c r="J76" s="19">
        <f>IF(OR(G76="",H76=""),"",MAX(0,(H76-G76)*24-(I76/60)))</f>
        <v/>
      </c>
      <c r="K76" s="20">
        <f>IFERROR(VLOOKUP(D76,Jobs!$A:$G,5,FALSE),"")</f>
        <v/>
      </c>
      <c r="L76" s="20">
        <f>IF(OR(J76="",K76=""),"",J76*K76)</f>
        <v/>
      </c>
      <c r="M76" s="20" t="n"/>
      <c r="N76" s="20" t="n"/>
      <c r="O76" s="20">
        <f>IF(L76="","",L76+M76-N76)</f>
        <v/>
      </c>
      <c r="Q76" s="21" t="n"/>
      <c r="R76" s="21" t="n"/>
    </row>
    <row r="77">
      <c r="C77">
        <f>IFERROR(VLOOKUP(B77,Workers!$A:$H,2,FALSE),"")</f>
        <v/>
      </c>
      <c r="E77">
        <f>IFERROR(VLOOKUP(D77,Jobs!$A:$G,2,FALSE),"")</f>
        <v/>
      </c>
      <c r="F77" s="17" t="n"/>
      <c r="G77" s="18" t="n"/>
      <c r="H77" s="18" t="n"/>
      <c r="J77" s="19">
        <f>IF(OR(G77="",H77=""),"",MAX(0,(H77-G77)*24-(I77/60)))</f>
        <v/>
      </c>
      <c r="K77" s="20">
        <f>IFERROR(VLOOKUP(D77,Jobs!$A:$G,5,FALSE),"")</f>
        <v/>
      </c>
      <c r="L77" s="20">
        <f>IF(OR(J77="",K77=""),"",J77*K77)</f>
        <v/>
      </c>
      <c r="M77" s="20" t="n"/>
      <c r="N77" s="20" t="n"/>
      <c r="O77" s="20">
        <f>IF(L77="","",L77+M77-N77)</f>
        <v/>
      </c>
      <c r="Q77" s="21" t="n"/>
      <c r="R77" s="21" t="n"/>
    </row>
    <row r="78">
      <c r="C78">
        <f>IFERROR(VLOOKUP(B78,Workers!$A:$H,2,FALSE),"")</f>
        <v/>
      </c>
      <c r="E78">
        <f>IFERROR(VLOOKUP(D78,Jobs!$A:$G,2,FALSE),"")</f>
        <v/>
      </c>
      <c r="F78" s="17" t="n"/>
      <c r="G78" s="18" t="n"/>
      <c r="H78" s="18" t="n"/>
      <c r="J78" s="19">
        <f>IF(OR(G78="",H78=""),"",MAX(0,(H78-G78)*24-(I78/60)))</f>
        <v/>
      </c>
      <c r="K78" s="20">
        <f>IFERROR(VLOOKUP(D78,Jobs!$A:$G,5,FALSE),"")</f>
        <v/>
      </c>
      <c r="L78" s="20">
        <f>IF(OR(J78="",K78=""),"",J78*K78)</f>
        <v/>
      </c>
      <c r="M78" s="20" t="n"/>
      <c r="N78" s="20" t="n"/>
      <c r="O78" s="20">
        <f>IF(L78="","",L78+M78-N78)</f>
        <v/>
      </c>
      <c r="Q78" s="21" t="n"/>
      <c r="R78" s="21" t="n"/>
    </row>
    <row r="79">
      <c r="C79">
        <f>IFERROR(VLOOKUP(B79,Workers!$A:$H,2,FALSE),"")</f>
        <v/>
      </c>
      <c r="E79">
        <f>IFERROR(VLOOKUP(D79,Jobs!$A:$G,2,FALSE),"")</f>
        <v/>
      </c>
      <c r="F79" s="17" t="n"/>
      <c r="G79" s="18" t="n"/>
      <c r="H79" s="18" t="n"/>
      <c r="J79" s="19">
        <f>IF(OR(G79="",H79=""),"",MAX(0,(H79-G79)*24-(I79/60)))</f>
        <v/>
      </c>
      <c r="K79" s="20">
        <f>IFERROR(VLOOKUP(D79,Jobs!$A:$G,5,FALSE),"")</f>
        <v/>
      </c>
      <c r="L79" s="20">
        <f>IF(OR(J79="",K79=""),"",J79*K79)</f>
        <v/>
      </c>
      <c r="M79" s="20" t="n"/>
      <c r="N79" s="20" t="n"/>
      <c r="O79" s="20">
        <f>IF(L79="","",L79+M79-N79)</f>
        <v/>
      </c>
      <c r="Q79" s="21" t="n"/>
      <c r="R79" s="21" t="n"/>
    </row>
    <row r="80">
      <c r="C80">
        <f>IFERROR(VLOOKUP(B80,Workers!$A:$H,2,FALSE),"")</f>
        <v/>
      </c>
      <c r="E80">
        <f>IFERROR(VLOOKUP(D80,Jobs!$A:$G,2,FALSE),"")</f>
        <v/>
      </c>
      <c r="F80" s="17" t="n"/>
      <c r="G80" s="18" t="n"/>
      <c r="H80" s="18" t="n"/>
      <c r="J80" s="19">
        <f>IF(OR(G80="",H80=""),"",MAX(0,(H80-G80)*24-(I80/60)))</f>
        <v/>
      </c>
      <c r="K80" s="20">
        <f>IFERROR(VLOOKUP(D80,Jobs!$A:$G,5,FALSE),"")</f>
        <v/>
      </c>
      <c r="L80" s="20">
        <f>IF(OR(J80="",K80=""),"",J80*K80)</f>
        <v/>
      </c>
      <c r="M80" s="20" t="n"/>
      <c r="N80" s="20" t="n"/>
      <c r="O80" s="20">
        <f>IF(L80="","",L80+M80-N80)</f>
        <v/>
      </c>
      <c r="Q80" s="21" t="n"/>
      <c r="R80" s="21" t="n"/>
    </row>
    <row r="81">
      <c r="C81">
        <f>IFERROR(VLOOKUP(B81,Workers!$A:$H,2,FALSE),"")</f>
        <v/>
      </c>
      <c r="E81">
        <f>IFERROR(VLOOKUP(D81,Jobs!$A:$G,2,FALSE),"")</f>
        <v/>
      </c>
      <c r="F81" s="17" t="n"/>
      <c r="G81" s="18" t="n"/>
      <c r="H81" s="18" t="n"/>
      <c r="J81" s="19">
        <f>IF(OR(G81="",H81=""),"",MAX(0,(H81-G81)*24-(I81/60)))</f>
        <v/>
      </c>
      <c r="K81" s="20">
        <f>IFERROR(VLOOKUP(D81,Jobs!$A:$G,5,FALSE),"")</f>
        <v/>
      </c>
      <c r="L81" s="20">
        <f>IF(OR(J81="",K81=""),"",J81*K81)</f>
        <v/>
      </c>
      <c r="M81" s="20" t="n"/>
      <c r="N81" s="20" t="n"/>
      <c r="O81" s="20">
        <f>IF(L81="","",L81+M81-N81)</f>
        <v/>
      </c>
      <c r="Q81" s="21" t="n"/>
      <c r="R81" s="21" t="n"/>
    </row>
    <row r="82">
      <c r="C82">
        <f>IFERROR(VLOOKUP(B82,Workers!$A:$H,2,FALSE),"")</f>
        <v/>
      </c>
      <c r="E82">
        <f>IFERROR(VLOOKUP(D82,Jobs!$A:$G,2,FALSE),"")</f>
        <v/>
      </c>
      <c r="F82" s="17" t="n"/>
      <c r="G82" s="18" t="n"/>
      <c r="H82" s="18" t="n"/>
      <c r="J82" s="19">
        <f>IF(OR(G82="",H82=""),"",MAX(0,(H82-G82)*24-(I82/60)))</f>
        <v/>
      </c>
      <c r="K82" s="20">
        <f>IFERROR(VLOOKUP(D82,Jobs!$A:$G,5,FALSE),"")</f>
        <v/>
      </c>
      <c r="L82" s="20">
        <f>IF(OR(J82="",K82=""),"",J82*K82)</f>
        <v/>
      </c>
      <c r="M82" s="20" t="n"/>
      <c r="N82" s="20" t="n"/>
      <c r="O82" s="20">
        <f>IF(L82="","",L82+M82-N82)</f>
        <v/>
      </c>
      <c r="Q82" s="21" t="n"/>
      <c r="R82" s="21" t="n"/>
    </row>
    <row r="83">
      <c r="C83">
        <f>IFERROR(VLOOKUP(B83,Workers!$A:$H,2,FALSE),"")</f>
        <v/>
      </c>
      <c r="E83">
        <f>IFERROR(VLOOKUP(D83,Jobs!$A:$G,2,FALSE),"")</f>
        <v/>
      </c>
      <c r="F83" s="17" t="n"/>
      <c r="G83" s="18" t="n"/>
      <c r="H83" s="18" t="n"/>
      <c r="J83" s="19">
        <f>IF(OR(G83="",H83=""),"",MAX(0,(H83-G83)*24-(I83/60)))</f>
        <v/>
      </c>
      <c r="K83" s="20">
        <f>IFERROR(VLOOKUP(D83,Jobs!$A:$G,5,FALSE),"")</f>
        <v/>
      </c>
      <c r="L83" s="20">
        <f>IF(OR(J83="",K83=""),"",J83*K83)</f>
        <v/>
      </c>
      <c r="M83" s="20" t="n"/>
      <c r="N83" s="20" t="n"/>
      <c r="O83" s="20">
        <f>IF(L83="","",L83+M83-N83)</f>
        <v/>
      </c>
      <c r="Q83" s="21" t="n"/>
      <c r="R83" s="21" t="n"/>
    </row>
    <row r="84">
      <c r="C84">
        <f>IFERROR(VLOOKUP(B84,Workers!$A:$H,2,FALSE),"")</f>
        <v/>
      </c>
      <c r="E84">
        <f>IFERROR(VLOOKUP(D84,Jobs!$A:$G,2,FALSE),"")</f>
        <v/>
      </c>
      <c r="F84" s="17" t="n"/>
      <c r="G84" s="18" t="n"/>
      <c r="H84" s="18" t="n"/>
      <c r="J84" s="19">
        <f>IF(OR(G84="",H84=""),"",MAX(0,(H84-G84)*24-(I84/60)))</f>
        <v/>
      </c>
      <c r="K84" s="20">
        <f>IFERROR(VLOOKUP(D84,Jobs!$A:$G,5,FALSE),"")</f>
        <v/>
      </c>
      <c r="L84" s="20">
        <f>IF(OR(J84="",K84=""),"",J84*K84)</f>
        <v/>
      </c>
      <c r="M84" s="20" t="n"/>
      <c r="N84" s="20" t="n"/>
      <c r="O84" s="20">
        <f>IF(L84="","",L84+M84-N84)</f>
        <v/>
      </c>
      <c r="Q84" s="21" t="n"/>
      <c r="R84" s="21" t="n"/>
    </row>
    <row r="85">
      <c r="C85">
        <f>IFERROR(VLOOKUP(B85,Workers!$A:$H,2,FALSE),"")</f>
        <v/>
      </c>
      <c r="E85">
        <f>IFERROR(VLOOKUP(D85,Jobs!$A:$G,2,FALSE),"")</f>
        <v/>
      </c>
      <c r="F85" s="17" t="n"/>
      <c r="G85" s="18" t="n"/>
      <c r="H85" s="18" t="n"/>
      <c r="J85" s="19">
        <f>IF(OR(G85="",H85=""),"",MAX(0,(H85-G85)*24-(I85/60)))</f>
        <v/>
      </c>
      <c r="K85" s="20">
        <f>IFERROR(VLOOKUP(D85,Jobs!$A:$G,5,FALSE),"")</f>
        <v/>
      </c>
      <c r="L85" s="20">
        <f>IF(OR(J85="",K85=""),"",J85*K85)</f>
        <v/>
      </c>
      <c r="M85" s="20" t="n"/>
      <c r="N85" s="20" t="n"/>
      <c r="O85" s="20">
        <f>IF(L85="","",L85+M85-N85)</f>
        <v/>
      </c>
      <c r="Q85" s="21" t="n"/>
      <c r="R85" s="21" t="n"/>
    </row>
    <row r="86">
      <c r="C86">
        <f>IFERROR(VLOOKUP(B86,Workers!$A:$H,2,FALSE),"")</f>
        <v/>
      </c>
      <c r="E86">
        <f>IFERROR(VLOOKUP(D86,Jobs!$A:$G,2,FALSE),"")</f>
        <v/>
      </c>
      <c r="F86" s="17" t="n"/>
      <c r="G86" s="18" t="n"/>
      <c r="H86" s="18" t="n"/>
      <c r="J86" s="19">
        <f>IF(OR(G86="",H86=""),"",MAX(0,(H86-G86)*24-(I86/60)))</f>
        <v/>
      </c>
      <c r="K86" s="20">
        <f>IFERROR(VLOOKUP(D86,Jobs!$A:$G,5,FALSE),"")</f>
        <v/>
      </c>
      <c r="L86" s="20">
        <f>IF(OR(J86="",K86=""),"",J86*K86)</f>
        <v/>
      </c>
      <c r="M86" s="20" t="n"/>
      <c r="N86" s="20" t="n"/>
      <c r="O86" s="20">
        <f>IF(L86="","",L86+M86-N86)</f>
        <v/>
      </c>
      <c r="Q86" s="21" t="n"/>
      <c r="R86" s="21" t="n"/>
    </row>
    <row r="87">
      <c r="C87">
        <f>IFERROR(VLOOKUP(B87,Workers!$A:$H,2,FALSE),"")</f>
        <v/>
      </c>
      <c r="E87">
        <f>IFERROR(VLOOKUP(D87,Jobs!$A:$G,2,FALSE),"")</f>
        <v/>
      </c>
      <c r="F87" s="17" t="n"/>
      <c r="G87" s="18" t="n"/>
      <c r="H87" s="18" t="n"/>
      <c r="J87" s="19">
        <f>IF(OR(G87="",H87=""),"",MAX(0,(H87-G87)*24-(I87/60)))</f>
        <v/>
      </c>
      <c r="K87" s="20">
        <f>IFERROR(VLOOKUP(D87,Jobs!$A:$G,5,FALSE),"")</f>
        <v/>
      </c>
      <c r="L87" s="20">
        <f>IF(OR(J87="",K87=""),"",J87*K87)</f>
        <v/>
      </c>
      <c r="M87" s="20" t="n"/>
      <c r="N87" s="20" t="n"/>
      <c r="O87" s="20">
        <f>IF(L87="","",L87+M87-N87)</f>
        <v/>
      </c>
      <c r="Q87" s="21" t="n"/>
      <c r="R87" s="21" t="n"/>
    </row>
    <row r="88">
      <c r="C88">
        <f>IFERROR(VLOOKUP(B88,Workers!$A:$H,2,FALSE),"")</f>
        <v/>
      </c>
      <c r="E88">
        <f>IFERROR(VLOOKUP(D88,Jobs!$A:$G,2,FALSE),"")</f>
        <v/>
      </c>
      <c r="F88" s="17" t="n"/>
      <c r="G88" s="18" t="n"/>
      <c r="H88" s="18" t="n"/>
      <c r="J88" s="19">
        <f>IF(OR(G88="",H88=""),"",MAX(0,(H88-G88)*24-(I88/60)))</f>
        <v/>
      </c>
      <c r="K88" s="20">
        <f>IFERROR(VLOOKUP(D88,Jobs!$A:$G,5,FALSE),"")</f>
        <v/>
      </c>
      <c r="L88" s="20">
        <f>IF(OR(J88="",K88=""),"",J88*K88)</f>
        <v/>
      </c>
      <c r="M88" s="20" t="n"/>
      <c r="N88" s="20" t="n"/>
      <c r="O88" s="20">
        <f>IF(L88="","",L88+M88-N88)</f>
        <v/>
      </c>
      <c r="Q88" s="21" t="n"/>
      <c r="R88" s="21" t="n"/>
    </row>
    <row r="89">
      <c r="C89">
        <f>IFERROR(VLOOKUP(B89,Workers!$A:$H,2,FALSE),"")</f>
        <v/>
      </c>
      <c r="E89">
        <f>IFERROR(VLOOKUP(D89,Jobs!$A:$G,2,FALSE),"")</f>
        <v/>
      </c>
      <c r="F89" s="17" t="n"/>
      <c r="G89" s="18" t="n"/>
      <c r="H89" s="18" t="n"/>
      <c r="J89" s="19">
        <f>IF(OR(G89="",H89=""),"",MAX(0,(H89-G89)*24-(I89/60)))</f>
        <v/>
      </c>
      <c r="K89" s="20">
        <f>IFERROR(VLOOKUP(D89,Jobs!$A:$G,5,FALSE),"")</f>
        <v/>
      </c>
      <c r="L89" s="20">
        <f>IF(OR(J89="",K89=""),"",J89*K89)</f>
        <v/>
      </c>
      <c r="M89" s="20" t="n"/>
      <c r="N89" s="20" t="n"/>
      <c r="O89" s="20">
        <f>IF(L89="","",L89+M89-N89)</f>
        <v/>
      </c>
      <c r="Q89" s="21" t="n"/>
      <c r="R89" s="21" t="n"/>
    </row>
    <row r="90">
      <c r="C90">
        <f>IFERROR(VLOOKUP(B90,Workers!$A:$H,2,FALSE),"")</f>
        <v/>
      </c>
      <c r="E90">
        <f>IFERROR(VLOOKUP(D90,Jobs!$A:$G,2,FALSE),"")</f>
        <v/>
      </c>
      <c r="F90" s="17" t="n"/>
      <c r="G90" s="18" t="n"/>
      <c r="H90" s="18" t="n"/>
      <c r="J90" s="19">
        <f>IF(OR(G90="",H90=""),"",MAX(0,(H90-G90)*24-(I90/60)))</f>
        <v/>
      </c>
      <c r="K90" s="20">
        <f>IFERROR(VLOOKUP(D90,Jobs!$A:$G,5,FALSE),"")</f>
        <v/>
      </c>
      <c r="L90" s="20">
        <f>IF(OR(J90="",K90=""),"",J90*K90)</f>
        <v/>
      </c>
      <c r="M90" s="20" t="n"/>
      <c r="N90" s="20" t="n"/>
      <c r="O90" s="20">
        <f>IF(L90="","",L90+M90-N90)</f>
        <v/>
      </c>
      <c r="Q90" s="21" t="n"/>
      <c r="R90" s="21" t="n"/>
    </row>
    <row r="91">
      <c r="C91">
        <f>IFERROR(VLOOKUP(B91,Workers!$A:$H,2,FALSE),"")</f>
        <v/>
      </c>
      <c r="E91">
        <f>IFERROR(VLOOKUP(D91,Jobs!$A:$G,2,FALSE),"")</f>
        <v/>
      </c>
      <c r="F91" s="17" t="n"/>
      <c r="G91" s="18" t="n"/>
      <c r="H91" s="18" t="n"/>
      <c r="J91" s="19">
        <f>IF(OR(G91="",H91=""),"",MAX(0,(H91-G91)*24-(I91/60)))</f>
        <v/>
      </c>
      <c r="K91" s="20">
        <f>IFERROR(VLOOKUP(D91,Jobs!$A:$G,5,FALSE),"")</f>
        <v/>
      </c>
      <c r="L91" s="20">
        <f>IF(OR(J91="",K91=""),"",J91*K91)</f>
        <v/>
      </c>
      <c r="M91" s="20" t="n"/>
      <c r="N91" s="20" t="n"/>
      <c r="O91" s="20">
        <f>IF(L91="","",L91+M91-N91)</f>
        <v/>
      </c>
      <c r="Q91" s="21" t="n"/>
      <c r="R91" s="21" t="n"/>
    </row>
    <row r="92">
      <c r="C92">
        <f>IFERROR(VLOOKUP(B92,Workers!$A:$H,2,FALSE),"")</f>
        <v/>
      </c>
      <c r="E92">
        <f>IFERROR(VLOOKUP(D92,Jobs!$A:$G,2,FALSE),"")</f>
        <v/>
      </c>
      <c r="F92" s="17" t="n"/>
      <c r="G92" s="18" t="n"/>
      <c r="H92" s="18" t="n"/>
      <c r="J92" s="19">
        <f>IF(OR(G92="",H92=""),"",MAX(0,(H92-G92)*24-(I92/60)))</f>
        <v/>
      </c>
      <c r="K92" s="20">
        <f>IFERROR(VLOOKUP(D92,Jobs!$A:$G,5,FALSE),"")</f>
        <v/>
      </c>
      <c r="L92" s="20">
        <f>IF(OR(J92="",K92=""),"",J92*K92)</f>
        <v/>
      </c>
      <c r="M92" s="20" t="n"/>
      <c r="N92" s="20" t="n"/>
      <c r="O92" s="20">
        <f>IF(L92="","",L92+M92-N92)</f>
        <v/>
      </c>
      <c r="Q92" s="21" t="n"/>
      <c r="R92" s="21" t="n"/>
    </row>
    <row r="93">
      <c r="C93">
        <f>IFERROR(VLOOKUP(B93,Workers!$A:$H,2,FALSE),"")</f>
        <v/>
      </c>
      <c r="E93">
        <f>IFERROR(VLOOKUP(D93,Jobs!$A:$G,2,FALSE),"")</f>
        <v/>
      </c>
      <c r="F93" s="17" t="n"/>
      <c r="G93" s="18" t="n"/>
      <c r="H93" s="18" t="n"/>
      <c r="J93" s="19">
        <f>IF(OR(G93="",H93=""),"",MAX(0,(H93-G93)*24-(I93/60)))</f>
        <v/>
      </c>
      <c r="K93" s="20">
        <f>IFERROR(VLOOKUP(D93,Jobs!$A:$G,5,FALSE),"")</f>
        <v/>
      </c>
      <c r="L93" s="20">
        <f>IF(OR(J93="",K93=""),"",J93*K93)</f>
        <v/>
      </c>
      <c r="M93" s="20" t="n"/>
      <c r="N93" s="20" t="n"/>
      <c r="O93" s="20">
        <f>IF(L93="","",L93+M93-N93)</f>
        <v/>
      </c>
      <c r="Q93" s="21" t="n"/>
      <c r="R93" s="21" t="n"/>
    </row>
    <row r="94">
      <c r="C94">
        <f>IFERROR(VLOOKUP(B94,Workers!$A:$H,2,FALSE),"")</f>
        <v/>
      </c>
      <c r="E94">
        <f>IFERROR(VLOOKUP(D94,Jobs!$A:$G,2,FALSE),"")</f>
        <v/>
      </c>
      <c r="F94" s="17" t="n"/>
      <c r="G94" s="18" t="n"/>
      <c r="H94" s="18" t="n"/>
      <c r="J94" s="19">
        <f>IF(OR(G94="",H94=""),"",MAX(0,(H94-G94)*24-(I94/60)))</f>
        <v/>
      </c>
      <c r="K94" s="20">
        <f>IFERROR(VLOOKUP(D94,Jobs!$A:$G,5,FALSE),"")</f>
        <v/>
      </c>
      <c r="L94" s="20">
        <f>IF(OR(J94="",K94=""),"",J94*K94)</f>
        <v/>
      </c>
      <c r="M94" s="20" t="n"/>
      <c r="N94" s="20" t="n"/>
      <c r="O94" s="20">
        <f>IF(L94="","",L94+M94-N94)</f>
        <v/>
      </c>
      <c r="Q94" s="21" t="n"/>
      <c r="R94" s="21" t="n"/>
    </row>
    <row r="95">
      <c r="C95">
        <f>IFERROR(VLOOKUP(B95,Workers!$A:$H,2,FALSE),"")</f>
        <v/>
      </c>
      <c r="E95">
        <f>IFERROR(VLOOKUP(D95,Jobs!$A:$G,2,FALSE),"")</f>
        <v/>
      </c>
      <c r="F95" s="17" t="n"/>
      <c r="G95" s="18" t="n"/>
      <c r="H95" s="18" t="n"/>
      <c r="J95" s="19">
        <f>IF(OR(G95="",H95=""),"",MAX(0,(H95-G95)*24-(I95/60)))</f>
        <v/>
      </c>
      <c r="K95" s="20">
        <f>IFERROR(VLOOKUP(D95,Jobs!$A:$G,5,FALSE),"")</f>
        <v/>
      </c>
      <c r="L95" s="20">
        <f>IF(OR(J95="",K95=""),"",J95*K95)</f>
        <v/>
      </c>
      <c r="M95" s="20" t="n"/>
      <c r="N95" s="20" t="n"/>
      <c r="O95" s="20">
        <f>IF(L95="","",L95+M95-N95)</f>
        <v/>
      </c>
      <c r="Q95" s="21" t="n"/>
      <c r="R95" s="21" t="n"/>
    </row>
    <row r="96">
      <c r="C96">
        <f>IFERROR(VLOOKUP(B96,Workers!$A:$H,2,FALSE),"")</f>
        <v/>
      </c>
      <c r="E96">
        <f>IFERROR(VLOOKUP(D96,Jobs!$A:$G,2,FALSE),"")</f>
        <v/>
      </c>
      <c r="F96" s="17" t="n"/>
      <c r="G96" s="18" t="n"/>
      <c r="H96" s="18" t="n"/>
      <c r="J96" s="19">
        <f>IF(OR(G96="",H96=""),"",MAX(0,(H96-G96)*24-(I96/60)))</f>
        <v/>
      </c>
      <c r="K96" s="20">
        <f>IFERROR(VLOOKUP(D96,Jobs!$A:$G,5,FALSE),"")</f>
        <v/>
      </c>
      <c r="L96" s="20">
        <f>IF(OR(J96="",K96=""),"",J96*K96)</f>
        <v/>
      </c>
      <c r="M96" s="20" t="n"/>
      <c r="N96" s="20" t="n"/>
      <c r="O96" s="20">
        <f>IF(L96="","",L96+M96-N96)</f>
        <v/>
      </c>
      <c r="Q96" s="21" t="n"/>
      <c r="R96" s="21" t="n"/>
    </row>
    <row r="97">
      <c r="C97">
        <f>IFERROR(VLOOKUP(B97,Workers!$A:$H,2,FALSE),"")</f>
        <v/>
      </c>
      <c r="E97">
        <f>IFERROR(VLOOKUP(D97,Jobs!$A:$G,2,FALSE),"")</f>
        <v/>
      </c>
      <c r="F97" s="17" t="n"/>
      <c r="G97" s="18" t="n"/>
      <c r="H97" s="18" t="n"/>
      <c r="J97" s="19">
        <f>IF(OR(G97="",H97=""),"",MAX(0,(H97-G97)*24-(I97/60)))</f>
        <v/>
      </c>
      <c r="K97" s="20">
        <f>IFERROR(VLOOKUP(D97,Jobs!$A:$G,5,FALSE),"")</f>
        <v/>
      </c>
      <c r="L97" s="20">
        <f>IF(OR(J97="",K97=""),"",J97*K97)</f>
        <v/>
      </c>
      <c r="M97" s="20" t="n"/>
      <c r="N97" s="20" t="n"/>
      <c r="O97" s="20">
        <f>IF(L97="","",L97+M97-N97)</f>
        <v/>
      </c>
      <c r="Q97" s="21" t="n"/>
      <c r="R97" s="21" t="n"/>
    </row>
    <row r="98">
      <c r="C98">
        <f>IFERROR(VLOOKUP(B98,Workers!$A:$H,2,FALSE),"")</f>
        <v/>
      </c>
      <c r="E98">
        <f>IFERROR(VLOOKUP(D98,Jobs!$A:$G,2,FALSE),"")</f>
        <v/>
      </c>
      <c r="F98" s="17" t="n"/>
      <c r="G98" s="18" t="n"/>
      <c r="H98" s="18" t="n"/>
      <c r="J98" s="19">
        <f>IF(OR(G98="",H98=""),"",MAX(0,(H98-G98)*24-(I98/60)))</f>
        <v/>
      </c>
      <c r="K98" s="20">
        <f>IFERROR(VLOOKUP(D98,Jobs!$A:$G,5,FALSE),"")</f>
        <v/>
      </c>
      <c r="L98" s="20">
        <f>IF(OR(J98="",K98=""),"",J98*K98)</f>
        <v/>
      </c>
      <c r="M98" s="20" t="n"/>
      <c r="N98" s="20" t="n"/>
      <c r="O98" s="20">
        <f>IF(L98="","",L98+M98-N98)</f>
        <v/>
      </c>
      <c r="Q98" s="21" t="n"/>
      <c r="R98" s="21" t="n"/>
    </row>
    <row r="99">
      <c r="C99">
        <f>IFERROR(VLOOKUP(B99,Workers!$A:$H,2,FALSE),"")</f>
        <v/>
      </c>
      <c r="E99">
        <f>IFERROR(VLOOKUP(D99,Jobs!$A:$G,2,FALSE),"")</f>
        <v/>
      </c>
      <c r="F99" s="17" t="n"/>
      <c r="G99" s="18" t="n"/>
      <c r="H99" s="18" t="n"/>
      <c r="J99" s="19">
        <f>IF(OR(G99="",H99=""),"",MAX(0,(H99-G99)*24-(I99/60)))</f>
        <v/>
      </c>
      <c r="K99" s="20">
        <f>IFERROR(VLOOKUP(D99,Jobs!$A:$G,5,FALSE),"")</f>
        <v/>
      </c>
      <c r="L99" s="20">
        <f>IF(OR(J99="",K99=""),"",J99*K99)</f>
        <v/>
      </c>
      <c r="M99" s="20" t="n"/>
      <c r="N99" s="20" t="n"/>
      <c r="O99" s="20">
        <f>IF(L99="","",L99+M99-N99)</f>
        <v/>
      </c>
      <c r="Q99" s="21" t="n"/>
      <c r="R99" s="21" t="n"/>
    </row>
    <row r="100">
      <c r="C100">
        <f>IFERROR(VLOOKUP(B100,Workers!$A:$H,2,FALSE),"")</f>
        <v/>
      </c>
      <c r="E100">
        <f>IFERROR(VLOOKUP(D100,Jobs!$A:$G,2,FALSE),"")</f>
        <v/>
      </c>
      <c r="F100" s="17" t="n"/>
      <c r="G100" s="18" t="n"/>
      <c r="H100" s="18" t="n"/>
      <c r="J100" s="19">
        <f>IF(OR(G100="",H100=""),"",MAX(0,(H100-G100)*24-(I100/60)))</f>
        <v/>
      </c>
      <c r="K100" s="20">
        <f>IFERROR(VLOOKUP(D100,Jobs!$A:$G,5,FALSE),"")</f>
        <v/>
      </c>
      <c r="L100" s="20">
        <f>IF(OR(J100="",K100=""),"",J100*K100)</f>
        <v/>
      </c>
      <c r="M100" s="20" t="n"/>
      <c r="N100" s="20" t="n"/>
      <c r="O100" s="20">
        <f>IF(L100="","",L100+M100-N100)</f>
        <v/>
      </c>
      <c r="Q100" s="21" t="n"/>
      <c r="R100" s="21" t="n"/>
    </row>
    <row r="101">
      <c r="C101">
        <f>IFERROR(VLOOKUP(B101,Workers!$A:$H,2,FALSE),"")</f>
        <v/>
      </c>
      <c r="E101">
        <f>IFERROR(VLOOKUP(D101,Jobs!$A:$G,2,FALSE),"")</f>
        <v/>
      </c>
      <c r="F101" s="17" t="n"/>
      <c r="G101" s="18" t="n"/>
      <c r="H101" s="18" t="n"/>
      <c r="J101" s="19">
        <f>IF(OR(G101="",H101=""),"",MAX(0,(H101-G101)*24-(I101/60)))</f>
        <v/>
      </c>
      <c r="K101" s="20">
        <f>IFERROR(VLOOKUP(D101,Jobs!$A:$G,5,FALSE),"")</f>
        <v/>
      </c>
      <c r="L101" s="20">
        <f>IF(OR(J101="",K101=""),"",J101*K101)</f>
        <v/>
      </c>
      <c r="M101" s="20" t="n"/>
      <c r="N101" s="20" t="n"/>
      <c r="O101" s="20">
        <f>IF(L101="","",L101+M101-N101)</f>
        <v/>
      </c>
      <c r="Q101" s="21" t="n"/>
      <c r="R101" s="21" t="n"/>
    </row>
    <row r="102">
      <c r="C102">
        <f>IFERROR(VLOOKUP(B102,Workers!$A:$H,2,FALSE),"")</f>
        <v/>
      </c>
      <c r="E102">
        <f>IFERROR(VLOOKUP(D102,Jobs!$A:$G,2,FALSE),"")</f>
        <v/>
      </c>
      <c r="F102" s="17" t="n"/>
      <c r="G102" s="18" t="n"/>
      <c r="H102" s="18" t="n"/>
      <c r="J102" s="19">
        <f>IF(OR(G102="",H102=""),"",MAX(0,(H102-G102)*24-(I102/60)))</f>
        <v/>
      </c>
      <c r="K102" s="20">
        <f>IFERROR(VLOOKUP(D102,Jobs!$A:$G,5,FALSE),"")</f>
        <v/>
      </c>
      <c r="L102" s="20">
        <f>IF(OR(J102="",K102=""),"",J102*K102)</f>
        <v/>
      </c>
      <c r="M102" s="20" t="n"/>
      <c r="N102" s="20" t="n"/>
      <c r="O102" s="20">
        <f>IF(L102="","",L102+M102-N102)</f>
        <v/>
      </c>
      <c r="Q102" s="21" t="n"/>
      <c r="R102" s="21" t="n"/>
    </row>
    <row r="103">
      <c r="C103">
        <f>IFERROR(VLOOKUP(B103,Workers!$A:$H,2,FALSE),"")</f>
        <v/>
      </c>
      <c r="E103">
        <f>IFERROR(VLOOKUP(D103,Jobs!$A:$G,2,FALSE),"")</f>
        <v/>
      </c>
      <c r="F103" s="17" t="n"/>
      <c r="G103" s="18" t="n"/>
      <c r="H103" s="18" t="n"/>
      <c r="J103" s="19">
        <f>IF(OR(G103="",H103=""),"",MAX(0,(H103-G103)*24-(I103/60)))</f>
        <v/>
      </c>
      <c r="K103" s="20">
        <f>IFERROR(VLOOKUP(D103,Jobs!$A:$G,5,FALSE),"")</f>
        <v/>
      </c>
      <c r="L103" s="20">
        <f>IF(OR(J103="",K103=""),"",J103*K103)</f>
        <v/>
      </c>
      <c r="M103" s="20" t="n"/>
      <c r="N103" s="20" t="n"/>
      <c r="O103" s="20">
        <f>IF(L103="","",L103+M103-N103)</f>
        <v/>
      </c>
      <c r="Q103" s="21" t="n"/>
      <c r="R103" s="21" t="n"/>
    </row>
    <row r="104">
      <c r="C104">
        <f>IFERROR(VLOOKUP(B104,Workers!$A:$H,2,FALSE),"")</f>
        <v/>
      </c>
      <c r="E104">
        <f>IFERROR(VLOOKUP(D104,Jobs!$A:$G,2,FALSE),"")</f>
        <v/>
      </c>
      <c r="F104" s="17" t="n"/>
      <c r="G104" s="18" t="n"/>
      <c r="H104" s="18" t="n"/>
      <c r="J104" s="19">
        <f>IF(OR(G104="",H104=""),"",MAX(0,(H104-G104)*24-(I104/60)))</f>
        <v/>
      </c>
      <c r="K104" s="20">
        <f>IFERROR(VLOOKUP(D104,Jobs!$A:$G,5,FALSE),"")</f>
        <v/>
      </c>
      <c r="L104" s="20">
        <f>IF(OR(J104="",K104=""),"",J104*K104)</f>
        <v/>
      </c>
      <c r="M104" s="20" t="n"/>
      <c r="N104" s="20" t="n"/>
      <c r="O104" s="20">
        <f>IF(L104="","",L104+M104-N104)</f>
        <v/>
      </c>
      <c r="Q104" s="21" t="n"/>
      <c r="R104" s="21" t="n"/>
    </row>
    <row r="105">
      <c r="C105">
        <f>IFERROR(VLOOKUP(B105,Workers!$A:$H,2,FALSE),"")</f>
        <v/>
      </c>
      <c r="E105">
        <f>IFERROR(VLOOKUP(D105,Jobs!$A:$G,2,FALSE),"")</f>
        <v/>
      </c>
      <c r="F105" s="17" t="n"/>
      <c r="G105" s="18" t="n"/>
      <c r="H105" s="18" t="n"/>
      <c r="J105" s="19">
        <f>IF(OR(G105="",H105=""),"",MAX(0,(H105-G105)*24-(I105/60)))</f>
        <v/>
      </c>
      <c r="K105" s="20">
        <f>IFERROR(VLOOKUP(D105,Jobs!$A:$G,5,FALSE),"")</f>
        <v/>
      </c>
      <c r="L105" s="20">
        <f>IF(OR(J105="",K105=""),"",J105*K105)</f>
        <v/>
      </c>
      <c r="M105" s="20" t="n"/>
      <c r="N105" s="20" t="n"/>
      <c r="O105" s="20">
        <f>IF(L105="","",L105+M105-N105)</f>
        <v/>
      </c>
      <c r="Q105" s="21" t="n"/>
      <c r="R105" s="21" t="n"/>
    </row>
    <row r="106">
      <c r="C106">
        <f>IFERROR(VLOOKUP(B106,Workers!$A:$H,2,FALSE),"")</f>
        <v/>
      </c>
      <c r="E106">
        <f>IFERROR(VLOOKUP(D106,Jobs!$A:$G,2,FALSE),"")</f>
        <v/>
      </c>
      <c r="F106" s="17" t="n"/>
      <c r="G106" s="18" t="n"/>
      <c r="H106" s="18" t="n"/>
      <c r="J106" s="19">
        <f>IF(OR(G106="",H106=""),"",MAX(0,(H106-G106)*24-(I106/60)))</f>
        <v/>
      </c>
      <c r="K106" s="20">
        <f>IFERROR(VLOOKUP(D106,Jobs!$A:$G,5,FALSE),"")</f>
        <v/>
      </c>
      <c r="L106" s="20">
        <f>IF(OR(J106="",K106=""),"",J106*K106)</f>
        <v/>
      </c>
      <c r="M106" s="20" t="n"/>
      <c r="N106" s="20" t="n"/>
      <c r="O106" s="20">
        <f>IF(L106="","",L106+M106-N106)</f>
        <v/>
      </c>
      <c r="Q106" s="21" t="n"/>
      <c r="R106" s="21" t="n"/>
    </row>
    <row r="107">
      <c r="C107">
        <f>IFERROR(VLOOKUP(B107,Workers!$A:$H,2,FALSE),"")</f>
        <v/>
      </c>
      <c r="E107">
        <f>IFERROR(VLOOKUP(D107,Jobs!$A:$G,2,FALSE),"")</f>
        <v/>
      </c>
      <c r="F107" s="17" t="n"/>
      <c r="G107" s="18" t="n"/>
      <c r="H107" s="18" t="n"/>
      <c r="J107" s="19">
        <f>IF(OR(G107="",H107=""),"",MAX(0,(H107-G107)*24-(I107/60)))</f>
        <v/>
      </c>
      <c r="K107" s="20">
        <f>IFERROR(VLOOKUP(D107,Jobs!$A:$G,5,FALSE),"")</f>
        <v/>
      </c>
      <c r="L107" s="20">
        <f>IF(OR(J107="",K107=""),"",J107*K107)</f>
        <v/>
      </c>
      <c r="M107" s="20" t="n"/>
      <c r="N107" s="20" t="n"/>
      <c r="O107" s="20">
        <f>IF(L107="","",L107+M107-N107)</f>
        <v/>
      </c>
      <c r="Q107" s="21" t="n"/>
      <c r="R107" s="21" t="n"/>
    </row>
    <row r="108">
      <c r="C108">
        <f>IFERROR(VLOOKUP(B108,Workers!$A:$H,2,FALSE),"")</f>
        <v/>
      </c>
      <c r="E108">
        <f>IFERROR(VLOOKUP(D108,Jobs!$A:$G,2,FALSE),"")</f>
        <v/>
      </c>
      <c r="F108" s="17" t="n"/>
      <c r="G108" s="18" t="n"/>
      <c r="H108" s="18" t="n"/>
      <c r="J108" s="19">
        <f>IF(OR(G108="",H108=""),"",MAX(0,(H108-G108)*24-(I108/60)))</f>
        <v/>
      </c>
      <c r="K108" s="20">
        <f>IFERROR(VLOOKUP(D108,Jobs!$A:$G,5,FALSE),"")</f>
        <v/>
      </c>
      <c r="L108" s="20">
        <f>IF(OR(J108="",K108=""),"",J108*K108)</f>
        <v/>
      </c>
      <c r="M108" s="20" t="n"/>
      <c r="N108" s="20" t="n"/>
      <c r="O108" s="20">
        <f>IF(L108="","",L108+M108-N108)</f>
        <v/>
      </c>
      <c r="Q108" s="21" t="n"/>
      <c r="R108" s="21" t="n"/>
    </row>
    <row r="109">
      <c r="C109">
        <f>IFERROR(VLOOKUP(B109,Workers!$A:$H,2,FALSE),"")</f>
        <v/>
      </c>
      <c r="E109">
        <f>IFERROR(VLOOKUP(D109,Jobs!$A:$G,2,FALSE),"")</f>
        <v/>
      </c>
      <c r="F109" s="17" t="n"/>
      <c r="G109" s="18" t="n"/>
      <c r="H109" s="18" t="n"/>
      <c r="J109" s="19">
        <f>IF(OR(G109="",H109=""),"",MAX(0,(H109-G109)*24-(I109/60)))</f>
        <v/>
      </c>
      <c r="K109" s="20">
        <f>IFERROR(VLOOKUP(D109,Jobs!$A:$G,5,FALSE),"")</f>
        <v/>
      </c>
      <c r="L109" s="20">
        <f>IF(OR(J109="",K109=""),"",J109*K109)</f>
        <v/>
      </c>
      <c r="M109" s="20" t="n"/>
      <c r="N109" s="20" t="n"/>
      <c r="O109" s="20">
        <f>IF(L109="","",L109+M109-N109)</f>
        <v/>
      </c>
      <c r="Q109" s="21" t="n"/>
      <c r="R109" s="21" t="n"/>
    </row>
    <row r="110">
      <c r="C110">
        <f>IFERROR(VLOOKUP(B110,Workers!$A:$H,2,FALSE),"")</f>
        <v/>
      </c>
      <c r="E110">
        <f>IFERROR(VLOOKUP(D110,Jobs!$A:$G,2,FALSE),"")</f>
        <v/>
      </c>
      <c r="F110" s="17" t="n"/>
      <c r="G110" s="18" t="n"/>
      <c r="H110" s="18" t="n"/>
      <c r="J110" s="19">
        <f>IF(OR(G110="",H110=""),"",MAX(0,(H110-G110)*24-(I110/60)))</f>
        <v/>
      </c>
      <c r="K110" s="20">
        <f>IFERROR(VLOOKUP(D110,Jobs!$A:$G,5,FALSE),"")</f>
        <v/>
      </c>
      <c r="L110" s="20">
        <f>IF(OR(J110="",K110=""),"",J110*K110)</f>
        <v/>
      </c>
      <c r="M110" s="20" t="n"/>
      <c r="N110" s="20" t="n"/>
      <c r="O110" s="20">
        <f>IF(L110="","",L110+M110-N110)</f>
        <v/>
      </c>
      <c r="Q110" s="21" t="n"/>
      <c r="R110" s="21" t="n"/>
    </row>
    <row r="111">
      <c r="C111">
        <f>IFERROR(VLOOKUP(B111,Workers!$A:$H,2,FALSE),"")</f>
        <v/>
      </c>
      <c r="E111">
        <f>IFERROR(VLOOKUP(D111,Jobs!$A:$G,2,FALSE),"")</f>
        <v/>
      </c>
      <c r="F111" s="17" t="n"/>
      <c r="G111" s="18" t="n"/>
      <c r="H111" s="18" t="n"/>
      <c r="J111" s="19">
        <f>IF(OR(G111="",H111=""),"",MAX(0,(H111-G111)*24-(I111/60)))</f>
        <v/>
      </c>
      <c r="K111" s="20">
        <f>IFERROR(VLOOKUP(D111,Jobs!$A:$G,5,FALSE),"")</f>
        <v/>
      </c>
      <c r="L111" s="20">
        <f>IF(OR(J111="",K111=""),"",J111*K111)</f>
        <v/>
      </c>
      <c r="M111" s="20" t="n"/>
      <c r="N111" s="20" t="n"/>
      <c r="O111" s="20">
        <f>IF(L111="","",L111+M111-N111)</f>
        <v/>
      </c>
      <c r="Q111" s="21" t="n"/>
      <c r="R111" s="21" t="n"/>
    </row>
    <row r="112">
      <c r="C112">
        <f>IFERROR(VLOOKUP(B112,Workers!$A:$H,2,FALSE),"")</f>
        <v/>
      </c>
      <c r="E112">
        <f>IFERROR(VLOOKUP(D112,Jobs!$A:$G,2,FALSE),"")</f>
        <v/>
      </c>
      <c r="F112" s="17" t="n"/>
      <c r="G112" s="18" t="n"/>
      <c r="H112" s="18" t="n"/>
      <c r="J112" s="19">
        <f>IF(OR(G112="",H112=""),"",MAX(0,(H112-G112)*24-(I112/60)))</f>
        <v/>
      </c>
      <c r="K112" s="20">
        <f>IFERROR(VLOOKUP(D112,Jobs!$A:$G,5,FALSE),"")</f>
        <v/>
      </c>
      <c r="L112" s="20">
        <f>IF(OR(J112="",K112=""),"",J112*K112)</f>
        <v/>
      </c>
      <c r="M112" s="20" t="n"/>
      <c r="N112" s="20" t="n"/>
      <c r="O112" s="20">
        <f>IF(L112="","",L112+M112-N112)</f>
        <v/>
      </c>
      <c r="Q112" s="21" t="n"/>
      <c r="R112" s="21" t="n"/>
    </row>
    <row r="113">
      <c r="C113">
        <f>IFERROR(VLOOKUP(B113,Workers!$A:$H,2,FALSE),"")</f>
        <v/>
      </c>
      <c r="E113">
        <f>IFERROR(VLOOKUP(D113,Jobs!$A:$G,2,FALSE),"")</f>
        <v/>
      </c>
      <c r="F113" s="17" t="n"/>
      <c r="G113" s="18" t="n"/>
      <c r="H113" s="18" t="n"/>
      <c r="J113" s="19">
        <f>IF(OR(G113="",H113=""),"",MAX(0,(H113-G113)*24-(I113/60)))</f>
        <v/>
      </c>
      <c r="K113" s="20">
        <f>IFERROR(VLOOKUP(D113,Jobs!$A:$G,5,FALSE),"")</f>
        <v/>
      </c>
      <c r="L113" s="20">
        <f>IF(OR(J113="",K113=""),"",J113*K113)</f>
        <v/>
      </c>
      <c r="M113" s="20" t="n"/>
      <c r="N113" s="20" t="n"/>
      <c r="O113" s="20">
        <f>IF(L113="","",L113+M113-N113)</f>
        <v/>
      </c>
      <c r="Q113" s="21" t="n"/>
      <c r="R113" s="21" t="n"/>
    </row>
    <row r="114">
      <c r="C114">
        <f>IFERROR(VLOOKUP(B114,Workers!$A:$H,2,FALSE),"")</f>
        <v/>
      </c>
      <c r="E114">
        <f>IFERROR(VLOOKUP(D114,Jobs!$A:$G,2,FALSE),"")</f>
        <v/>
      </c>
      <c r="F114" s="17" t="n"/>
      <c r="G114" s="18" t="n"/>
      <c r="H114" s="18" t="n"/>
      <c r="J114" s="19">
        <f>IF(OR(G114="",H114=""),"",MAX(0,(H114-G114)*24-(I114/60)))</f>
        <v/>
      </c>
      <c r="K114" s="20">
        <f>IFERROR(VLOOKUP(D114,Jobs!$A:$G,5,FALSE),"")</f>
        <v/>
      </c>
      <c r="L114" s="20">
        <f>IF(OR(J114="",K114=""),"",J114*K114)</f>
        <v/>
      </c>
      <c r="M114" s="20" t="n"/>
      <c r="N114" s="20" t="n"/>
      <c r="O114" s="20">
        <f>IF(L114="","",L114+M114-N114)</f>
        <v/>
      </c>
      <c r="Q114" s="21" t="n"/>
      <c r="R114" s="21" t="n"/>
    </row>
    <row r="115">
      <c r="C115">
        <f>IFERROR(VLOOKUP(B115,Workers!$A:$H,2,FALSE),"")</f>
        <v/>
      </c>
      <c r="E115">
        <f>IFERROR(VLOOKUP(D115,Jobs!$A:$G,2,FALSE),"")</f>
        <v/>
      </c>
      <c r="F115" s="17" t="n"/>
      <c r="G115" s="18" t="n"/>
      <c r="H115" s="18" t="n"/>
      <c r="J115" s="19">
        <f>IF(OR(G115="",H115=""),"",MAX(0,(H115-G115)*24-(I115/60)))</f>
        <v/>
      </c>
      <c r="K115" s="20">
        <f>IFERROR(VLOOKUP(D115,Jobs!$A:$G,5,FALSE),"")</f>
        <v/>
      </c>
      <c r="L115" s="20">
        <f>IF(OR(J115="",K115=""),"",J115*K115)</f>
        <v/>
      </c>
      <c r="M115" s="20" t="n"/>
      <c r="N115" s="20" t="n"/>
      <c r="O115" s="20">
        <f>IF(L115="","",L115+M115-N115)</f>
        <v/>
      </c>
      <c r="Q115" s="21" t="n"/>
      <c r="R115" s="21" t="n"/>
    </row>
    <row r="116">
      <c r="C116">
        <f>IFERROR(VLOOKUP(B116,Workers!$A:$H,2,FALSE),"")</f>
        <v/>
      </c>
      <c r="E116">
        <f>IFERROR(VLOOKUP(D116,Jobs!$A:$G,2,FALSE),"")</f>
        <v/>
      </c>
      <c r="F116" s="17" t="n"/>
      <c r="G116" s="18" t="n"/>
      <c r="H116" s="18" t="n"/>
      <c r="J116" s="19">
        <f>IF(OR(G116="",H116=""),"",MAX(0,(H116-G116)*24-(I116/60)))</f>
        <v/>
      </c>
      <c r="K116" s="20">
        <f>IFERROR(VLOOKUP(D116,Jobs!$A:$G,5,FALSE),"")</f>
        <v/>
      </c>
      <c r="L116" s="20">
        <f>IF(OR(J116="",K116=""),"",J116*K116)</f>
        <v/>
      </c>
      <c r="M116" s="20" t="n"/>
      <c r="N116" s="20" t="n"/>
      <c r="O116" s="20">
        <f>IF(L116="","",L116+M116-N116)</f>
        <v/>
      </c>
      <c r="Q116" s="21" t="n"/>
      <c r="R116" s="21" t="n"/>
    </row>
    <row r="117">
      <c r="C117">
        <f>IFERROR(VLOOKUP(B117,Workers!$A:$H,2,FALSE),"")</f>
        <v/>
      </c>
      <c r="E117">
        <f>IFERROR(VLOOKUP(D117,Jobs!$A:$G,2,FALSE),"")</f>
        <v/>
      </c>
      <c r="F117" s="17" t="n"/>
      <c r="G117" s="18" t="n"/>
      <c r="H117" s="18" t="n"/>
      <c r="J117" s="19">
        <f>IF(OR(G117="",H117=""),"",MAX(0,(H117-G117)*24-(I117/60)))</f>
        <v/>
      </c>
      <c r="K117" s="20">
        <f>IFERROR(VLOOKUP(D117,Jobs!$A:$G,5,FALSE),"")</f>
        <v/>
      </c>
      <c r="L117" s="20">
        <f>IF(OR(J117="",K117=""),"",J117*K117)</f>
        <v/>
      </c>
      <c r="M117" s="20" t="n"/>
      <c r="N117" s="20" t="n"/>
      <c r="O117" s="20">
        <f>IF(L117="","",L117+M117-N117)</f>
        <v/>
      </c>
      <c r="Q117" s="21" t="n"/>
      <c r="R117" s="21" t="n"/>
    </row>
    <row r="118">
      <c r="C118">
        <f>IFERROR(VLOOKUP(B118,Workers!$A:$H,2,FALSE),"")</f>
        <v/>
      </c>
      <c r="E118">
        <f>IFERROR(VLOOKUP(D118,Jobs!$A:$G,2,FALSE),"")</f>
        <v/>
      </c>
      <c r="F118" s="17" t="n"/>
      <c r="G118" s="18" t="n"/>
      <c r="H118" s="18" t="n"/>
      <c r="J118" s="19">
        <f>IF(OR(G118="",H118=""),"",MAX(0,(H118-G118)*24-(I118/60)))</f>
        <v/>
      </c>
      <c r="K118" s="20">
        <f>IFERROR(VLOOKUP(D118,Jobs!$A:$G,5,FALSE),"")</f>
        <v/>
      </c>
      <c r="L118" s="20">
        <f>IF(OR(J118="",K118=""),"",J118*K118)</f>
        <v/>
      </c>
      <c r="M118" s="20" t="n"/>
      <c r="N118" s="20" t="n"/>
      <c r="O118" s="20">
        <f>IF(L118="","",L118+M118-N118)</f>
        <v/>
      </c>
      <c r="Q118" s="21" t="n"/>
      <c r="R118" s="21" t="n"/>
    </row>
    <row r="119">
      <c r="C119">
        <f>IFERROR(VLOOKUP(B119,Workers!$A:$H,2,FALSE),"")</f>
        <v/>
      </c>
      <c r="E119">
        <f>IFERROR(VLOOKUP(D119,Jobs!$A:$G,2,FALSE),"")</f>
        <v/>
      </c>
      <c r="F119" s="17" t="n"/>
      <c r="G119" s="18" t="n"/>
      <c r="H119" s="18" t="n"/>
      <c r="J119" s="19">
        <f>IF(OR(G119="",H119=""),"",MAX(0,(H119-G119)*24-(I119/60)))</f>
        <v/>
      </c>
      <c r="K119" s="20">
        <f>IFERROR(VLOOKUP(D119,Jobs!$A:$G,5,FALSE),"")</f>
        <v/>
      </c>
      <c r="L119" s="20">
        <f>IF(OR(J119="",K119=""),"",J119*K119)</f>
        <v/>
      </c>
      <c r="M119" s="20" t="n"/>
      <c r="N119" s="20" t="n"/>
      <c r="O119" s="20">
        <f>IF(L119="","",L119+M119-N119)</f>
        <v/>
      </c>
      <c r="Q119" s="21" t="n"/>
      <c r="R119" s="21" t="n"/>
    </row>
    <row r="120">
      <c r="C120">
        <f>IFERROR(VLOOKUP(B120,Workers!$A:$H,2,FALSE),"")</f>
        <v/>
      </c>
      <c r="E120">
        <f>IFERROR(VLOOKUP(D120,Jobs!$A:$G,2,FALSE),"")</f>
        <v/>
      </c>
      <c r="F120" s="17" t="n"/>
      <c r="G120" s="18" t="n"/>
      <c r="H120" s="18" t="n"/>
      <c r="J120" s="19">
        <f>IF(OR(G120="",H120=""),"",MAX(0,(H120-G120)*24-(I120/60)))</f>
        <v/>
      </c>
      <c r="K120" s="20">
        <f>IFERROR(VLOOKUP(D120,Jobs!$A:$G,5,FALSE),"")</f>
        <v/>
      </c>
      <c r="L120" s="20">
        <f>IF(OR(J120="",K120=""),"",J120*K120)</f>
        <v/>
      </c>
      <c r="M120" s="20" t="n"/>
      <c r="N120" s="20" t="n"/>
      <c r="O120" s="20">
        <f>IF(L120="","",L120+M120-N120)</f>
        <v/>
      </c>
      <c r="Q120" s="21" t="n"/>
      <c r="R120" s="21" t="n"/>
    </row>
    <row r="121">
      <c r="C121">
        <f>IFERROR(VLOOKUP(B121,Workers!$A:$H,2,FALSE),"")</f>
        <v/>
      </c>
      <c r="E121">
        <f>IFERROR(VLOOKUP(D121,Jobs!$A:$G,2,FALSE),"")</f>
        <v/>
      </c>
      <c r="F121" s="17" t="n"/>
      <c r="G121" s="18" t="n"/>
      <c r="H121" s="18" t="n"/>
      <c r="J121" s="19">
        <f>IF(OR(G121="",H121=""),"",MAX(0,(H121-G121)*24-(I121/60)))</f>
        <v/>
      </c>
      <c r="K121" s="20">
        <f>IFERROR(VLOOKUP(D121,Jobs!$A:$G,5,FALSE),"")</f>
        <v/>
      </c>
      <c r="L121" s="20">
        <f>IF(OR(J121="",K121=""),"",J121*K121)</f>
        <v/>
      </c>
      <c r="M121" s="20" t="n"/>
      <c r="N121" s="20" t="n"/>
      <c r="O121" s="20">
        <f>IF(L121="","",L121+M121-N121)</f>
        <v/>
      </c>
      <c r="Q121" s="21" t="n"/>
      <c r="R121" s="21" t="n"/>
    </row>
    <row r="122">
      <c r="C122">
        <f>IFERROR(VLOOKUP(B122,Workers!$A:$H,2,FALSE),"")</f>
        <v/>
      </c>
      <c r="E122">
        <f>IFERROR(VLOOKUP(D122,Jobs!$A:$G,2,FALSE),"")</f>
        <v/>
      </c>
      <c r="F122" s="17" t="n"/>
      <c r="G122" s="18" t="n"/>
      <c r="H122" s="18" t="n"/>
      <c r="J122" s="19">
        <f>IF(OR(G122="",H122=""),"",MAX(0,(H122-G122)*24-(I122/60)))</f>
        <v/>
      </c>
      <c r="K122" s="20">
        <f>IFERROR(VLOOKUP(D122,Jobs!$A:$G,5,FALSE),"")</f>
        <v/>
      </c>
      <c r="L122" s="20">
        <f>IF(OR(J122="",K122=""),"",J122*K122)</f>
        <v/>
      </c>
      <c r="M122" s="20" t="n"/>
      <c r="N122" s="20" t="n"/>
      <c r="O122" s="20">
        <f>IF(L122="","",L122+M122-N122)</f>
        <v/>
      </c>
      <c r="Q122" s="21" t="n"/>
      <c r="R122" s="21" t="n"/>
    </row>
    <row r="123">
      <c r="C123">
        <f>IFERROR(VLOOKUP(B123,Workers!$A:$H,2,FALSE),"")</f>
        <v/>
      </c>
      <c r="E123">
        <f>IFERROR(VLOOKUP(D123,Jobs!$A:$G,2,FALSE),"")</f>
        <v/>
      </c>
      <c r="F123" s="17" t="n"/>
      <c r="G123" s="18" t="n"/>
      <c r="H123" s="18" t="n"/>
      <c r="J123" s="19">
        <f>IF(OR(G123="",H123=""),"",MAX(0,(H123-G123)*24-(I123/60)))</f>
        <v/>
      </c>
      <c r="K123" s="20">
        <f>IFERROR(VLOOKUP(D123,Jobs!$A:$G,5,FALSE),"")</f>
        <v/>
      </c>
      <c r="L123" s="20">
        <f>IF(OR(J123="",K123=""),"",J123*K123)</f>
        <v/>
      </c>
      <c r="M123" s="20" t="n"/>
      <c r="N123" s="20" t="n"/>
      <c r="O123" s="20">
        <f>IF(L123="","",L123+M123-N123)</f>
        <v/>
      </c>
      <c r="Q123" s="21" t="n"/>
      <c r="R123" s="21" t="n"/>
    </row>
    <row r="124">
      <c r="C124">
        <f>IFERROR(VLOOKUP(B124,Workers!$A:$H,2,FALSE),"")</f>
        <v/>
      </c>
      <c r="E124">
        <f>IFERROR(VLOOKUP(D124,Jobs!$A:$G,2,FALSE),"")</f>
        <v/>
      </c>
      <c r="F124" s="17" t="n"/>
      <c r="G124" s="18" t="n"/>
      <c r="H124" s="18" t="n"/>
      <c r="J124" s="19">
        <f>IF(OR(G124="",H124=""),"",MAX(0,(H124-G124)*24-(I124/60)))</f>
        <v/>
      </c>
      <c r="K124" s="20">
        <f>IFERROR(VLOOKUP(D124,Jobs!$A:$G,5,FALSE),"")</f>
        <v/>
      </c>
      <c r="L124" s="20">
        <f>IF(OR(J124="",K124=""),"",J124*K124)</f>
        <v/>
      </c>
      <c r="M124" s="20" t="n"/>
      <c r="N124" s="20" t="n"/>
      <c r="O124" s="20">
        <f>IF(L124="","",L124+M124-N124)</f>
        <v/>
      </c>
      <c r="Q124" s="21" t="n"/>
      <c r="R124" s="21" t="n"/>
    </row>
    <row r="125">
      <c r="C125">
        <f>IFERROR(VLOOKUP(B125,Workers!$A:$H,2,FALSE),"")</f>
        <v/>
      </c>
      <c r="E125">
        <f>IFERROR(VLOOKUP(D125,Jobs!$A:$G,2,FALSE),"")</f>
        <v/>
      </c>
      <c r="F125" s="17" t="n"/>
      <c r="G125" s="18" t="n"/>
      <c r="H125" s="18" t="n"/>
      <c r="J125" s="19">
        <f>IF(OR(G125="",H125=""),"",MAX(0,(H125-G125)*24-(I125/60)))</f>
        <v/>
      </c>
      <c r="K125" s="20">
        <f>IFERROR(VLOOKUP(D125,Jobs!$A:$G,5,FALSE),"")</f>
        <v/>
      </c>
      <c r="L125" s="20">
        <f>IF(OR(J125="",K125=""),"",J125*K125)</f>
        <v/>
      </c>
      <c r="M125" s="20" t="n"/>
      <c r="N125" s="20" t="n"/>
      <c r="O125" s="20">
        <f>IF(L125="","",L125+M125-N125)</f>
        <v/>
      </c>
      <c r="Q125" s="21" t="n"/>
      <c r="R125" s="21" t="n"/>
    </row>
    <row r="126">
      <c r="C126">
        <f>IFERROR(VLOOKUP(B126,Workers!$A:$H,2,FALSE),"")</f>
        <v/>
      </c>
      <c r="E126">
        <f>IFERROR(VLOOKUP(D126,Jobs!$A:$G,2,FALSE),"")</f>
        <v/>
      </c>
      <c r="F126" s="17" t="n"/>
      <c r="G126" s="18" t="n"/>
      <c r="H126" s="18" t="n"/>
      <c r="J126" s="19">
        <f>IF(OR(G126="",H126=""),"",MAX(0,(H126-G126)*24-(I126/60)))</f>
        <v/>
      </c>
      <c r="K126" s="20">
        <f>IFERROR(VLOOKUP(D126,Jobs!$A:$G,5,FALSE),"")</f>
        <v/>
      </c>
      <c r="L126" s="20">
        <f>IF(OR(J126="",K126=""),"",J126*K126)</f>
        <v/>
      </c>
      <c r="M126" s="20" t="n"/>
      <c r="N126" s="20" t="n"/>
      <c r="O126" s="20">
        <f>IF(L126="","",L126+M126-N126)</f>
        <v/>
      </c>
      <c r="Q126" s="21" t="n"/>
      <c r="R126" s="21" t="n"/>
    </row>
    <row r="127">
      <c r="C127">
        <f>IFERROR(VLOOKUP(B127,Workers!$A:$H,2,FALSE),"")</f>
        <v/>
      </c>
      <c r="E127">
        <f>IFERROR(VLOOKUP(D127,Jobs!$A:$G,2,FALSE),"")</f>
        <v/>
      </c>
      <c r="F127" s="17" t="n"/>
      <c r="G127" s="18" t="n"/>
      <c r="H127" s="18" t="n"/>
      <c r="J127" s="19">
        <f>IF(OR(G127="",H127=""),"",MAX(0,(H127-G127)*24-(I127/60)))</f>
        <v/>
      </c>
      <c r="K127" s="20">
        <f>IFERROR(VLOOKUP(D127,Jobs!$A:$G,5,FALSE),"")</f>
        <v/>
      </c>
      <c r="L127" s="20">
        <f>IF(OR(J127="",K127=""),"",J127*K127)</f>
        <v/>
      </c>
      <c r="M127" s="20" t="n"/>
      <c r="N127" s="20" t="n"/>
      <c r="O127" s="20">
        <f>IF(L127="","",L127+M127-N127)</f>
        <v/>
      </c>
      <c r="Q127" s="21" t="n"/>
      <c r="R127" s="21" t="n"/>
    </row>
    <row r="128">
      <c r="C128">
        <f>IFERROR(VLOOKUP(B128,Workers!$A:$H,2,FALSE),"")</f>
        <v/>
      </c>
      <c r="E128">
        <f>IFERROR(VLOOKUP(D128,Jobs!$A:$G,2,FALSE),"")</f>
        <v/>
      </c>
      <c r="F128" s="17" t="n"/>
      <c r="G128" s="18" t="n"/>
      <c r="H128" s="18" t="n"/>
      <c r="J128" s="19">
        <f>IF(OR(G128="",H128=""),"",MAX(0,(H128-G128)*24-(I128/60)))</f>
        <v/>
      </c>
      <c r="K128" s="20">
        <f>IFERROR(VLOOKUP(D128,Jobs!$A:$G,5,FALSE),"")</f>
        <v/>
      </c>
      <c r="L128" s="20">
        <f>IF(OR(J128="",K128=""),"",J128*K128)</f>
        <v/>
      </c>
      <c r="M128" s="20" t="n"/>
      <c r="N128" s="20" t="n"/>
      <c r="O128" s="20">
        <f>IF(L128="","",L128+M128-N128)</f>
        <v/>
      </c>
      <c r="Q128" s="21" t="n"/>
      <c r="R128" s="21" t="n"/>
    </row>
    <row r="129">
      <c r="C129">
        <f>IFERROR(VLOOKUP(B129,Workers!$A:$H,2,FALSE),"")</f>
        <v/>
      </c>
      <c r="E129">
        <f>IFERROR(VLOOKUP(D129,Jobs!$A:$G,2,FALSE),"")</f>
        <v/>
      </c>
      <c r="F129" s="17" t="n"/>
      <c r="G129" s="18" t="n"/>
      <c r="H129" s="18" t="n"/>
      <c r="J129" s="19">
        <f>IF(OR(G129="",H129=""),"",MAX(0,(H129-G129)*24-(I129/60)))</f>
        <v/>
      </c>
      <c r="K129" s="20">
        <f>IFERROR(VLOOKUP(D129,Jobs!$A:$G,5,FALSE),"")</f>
        <v/>
      </c>
      <c r="L129" s="20">
        <f>IF(OR(J129="",K129=""),"",J129*K129)</f>
        <v/>
      </c>
      <c r="M129" s="20" t="n"/>
      <c r="N129" s="20" t="n"/>
      <c r="O129" s="20">
        <f>IF(L129="","",L129+M129-N129)</f>
        <v/>
      </c>
      <c r="Q129" s="21" t="n"/>
      <c r="R129" s="21" t="n"/>
    </row>
    <row r="130">
      <c r="C130">
        <f>IFERROR(VLOOKUP(B130,Workers!$A:$H,2,FALSE),"")</f>
        <v/>
      </c>
      <c r="E130">
        <f>IFERROR(VLOOKUP(D130,Jobs!$A:$G,2,FALSE),"")</f>
        <v/>
      </c>
      <c r="F130" s="17" t="n"/>
      <c r="G130" s="18" t="n"/>
      <c r="H130" s="18" t="n"/>
      <c r="J130" s="19">
        <f>IF(OR(G130="",H130=""),"",MAX(0,(H130-G130)*24-(I130/60)))</f>
        <v/>
      </c>
      <c r="K130" s="20">
        <f>IFERROR(VLOOKUP(D130,Jobs!$A:$G,5,FALSE),"")</f>
        <v/>
      </c>
      <c r="L130" s="20">
        <f>IF(OR(J130="",K130=""),"",J130*K130)</f>
        <v/>
      </c>
      <c r="M130" s="20" t="n"/>
      <c r="N130" s="20" t="n"/>
      <c r="O130" s="20">
        <f>IF(L130="","",L130+M130-N130)</f>
        <v/>
      </c>
      <c r="Q130" s="21" t="n"/>
      <c r="R130" s="21" t="n"/>
    </row>
    <row r="131">
      <c r="C131">
        <f>IFERROR(VLOOKUP(B131,Workers!$A:$H,2,FALSE),"")</f>
        <v/>
      </c>
      <c r="E131">
        <f>IFERROR(VLOOKUP(D131,Jobs!$A:$G,2,FALSE),"")</f>
        <v/>
      </c>
      <c r="F131" s="17" t="n"/>
      <c r="G131" s="18" t="n"/>
      <c r="H131" s="18" t="n"/>
      <c r="J131" s="19">
        <f>IF(OR(G131="",H131=""),"",MAX(0,(H131-G131)*24-(I131/60)))</f>
        <v/>
      </c>
      <c r="K131" s="20">
        <f>IFERROR(VLOOKUP(D131,Jobs!$A:$G,5,FALSE),"")</f>
        <v/>
      </c>
      <c r="L131" s="20">
        <f>IF(OR(J131="",K131=""),"",J131*K131)</f>
        <v/>
      </c>
      <c r="M131" s="20" t="n"/>
      <c r="N131" s="20" t="n"/>
      <c r="O131" s="20">
        <f>IF(L131="","",L131+M131-N131)</f>
        <v/>
      </c>
      <c r="Q131" s="21" t="n"/>
      <c r="R131" s="21" t="n"/>
    </row>
    <row r="132">
      <c r="C132">
        <f>IFERROR(VLOOKUP(B132,Workers!$A:$H,2,FALSE),"")</f>
        <v/>
      </c>
      <c r="E132">
        <f>IFERROR(VLOOKUP(D132,Jobs!$A:$G,2,FALSE),"")</f>
        <v/>
      </c>
      <c r="F132" s="17" t="n"/>
      <c r="G132" s="18" t="n"/>
      <c r="H132" s="18" t="n"/>
      <c r="J132" s="19">
        <f>IF(OR(G132="",H132=""),"",MAX(0,(H132-G132)*24-(I132/60)))</f>
        <v/>
      </c>
      <c r="K132" s="20">
        <f>IFERROR(VLOOKUP(D132,Jobs!$A:$G,5,FALSE),"")</f>
        <v/>
      </c>
      <c r="L132" s="20">
        <f>IF(OR(J132="",K132=""),"",J132*K132)</f>
        <v/>
      </c>
      <c r="M132" s="20" t="n"/>
      <c r="N132" s="20" t="n"/>
      <c r="O132" s="20">
        <f>IF(L132="","",L132+M132-N132)</f>
        <v/>
      </c>
      <c r="Q132" s="21" t="n"/>
      <c r="R132" s="21" t="n"/>
    </row>
    <row r="133">
      <c r="C133">
        <f>IFERROR(VLOOKUP(B133,Workers!$A:$H,2,FALSE),"")</f>
        <v/>
      </c>
      <c r="E133">
        <f>IFERROR(VLOOKUP(D133,Jobs!$A:$G,2,FALSE),"")</f>
        <v/>
      </c>
      <c r="F133" s="17" t="n"/>
      <c r="G133" s="18" t="n"/>
      <c r="H133" s="18" t="n"/>
      <c r="J133" s="19">
        <f>IF(OR(G133="",H133=""),"",MAX(0,(H133-G133)*24-(I133/60)))</f>
        <v/>
      </c>
      <c r="K133" s="20">
        <f>IFERROR(VLOOKUP(D133,Jobs!$A:$G,5,FALSE),"")</f>
        <v/>
      </c>
      <c r="L133" s="20">
        <f>IF(OR(J133="",K133=""),"",J133*K133)</f>
        <v/>
      </c>
      <c r="M133" s="20" t="n"/>
      <c r="N133" s="20" t="n"/>
      <c r="O133" s="20">
        <f>IF(L133="","",L133+M133-N133)</f>
        <v/>
      </c>
      <c r="Q133" s="21" t="n"/>
      <c r="R133" s="21" t="n"/>
    </row>
    <row r="134">
      <c r="C134">
        <f>IFERROR(VLOOKUP(B134,Workers!$A:$H,2,FALSE),"")</f>
        <v/>
      </c>
      <c r="E134">
        <f>IFERROR(VLOOKUP(D134,Jobs!$A:$G,2,FALSE),"")</f>
        <v/>
      </c>
      <c r="F134" s="17" t="n"/>
      <c r="G134" s="18" t="n"/>
      <c r="H134" s="18" t="n"/>
      <c r="J134" s="19">
        <f>IF(OR(G134="",H134=""),"",MAX(0,(H134-G134)*24-(I134/60)))</f>
        <v/>
      </c>
      <c r="K134" s="20">
        <f>IFERROR(VLOOKUP(D134,Jobs!$A:$G,5,FALSE),"")</f>
        <v/>
      </c>
      <c r="L134" s="20">
        <f>IF(OR(J134="",K134=""),"",J134*K134)</f>
        <v/>
      </c>
      <c r="M134" s="20" t="n"/>
      <c r="N134" s="20" t="n"/>
      <c r="O134" s="20">
        <f>IF(L134="","",L134+M134-N134)</f>
        <v/>
      </c>
      <c r="Q134" s="21" t="n"/>
      <c r="R134" s="21" t="n"/>
    </row>
    <row r="135">
      <c r="C135">
        <f>IFERROR(VLOOKUP(B135,Workers!$A:$H,2,FALSE),"")</f>
        <v/>
      </c>
      <c r="E135">
        <f>IFERROR(VLOOKUP(D135,Jobs!$A:$G,2,FALSE),"")</f>
        <v/>
      </c>
      <c r="F135" s="17" t="n"/>
      <c r="G135" s="18" t="n"/>
      <c r="H135" s="18" t="n"/>
      <c r="J135" s="19">
        <f>IF(OR(G135="",H135=""),"",MAX(0,(H135-G135)*24-(I135/60)))</f>
        <v/>
      </c>
      <c r="K135" s="20">
        <f>IFERROR(VLOOKUP(D135,Jobs!$A:$G,5,FALSE),"")</f>
        <v/>
      </c>
      <c r="L135" s="20">
        <f>IF(OR(J135="",K135=""),"",J135*K135)</f>
        <v/>
      </c>
      <c r="M135" s="20" t="n"/>
      <c r="N135" s="20" t="n"/>
      <c r="O135" s="20">
        <f>IF(L135="","",L135+M135-N135)</f>
        <v/>
      </c>
      <c r="Q135" s="21" t="n"/>
      <c r="R135" s="21" t="n"/>
    </row>
    <row r="136">
      <c r="C136">
        <f>IFERROR(VLOOKUP(B136,Workers!$A:$H,2,FALSE),"")</f>
        <v/>
      </c>
      <c r="E136">
        <f>IFERROR(VLOOKUP(D136,Jobs!$A:$G,2,FALSE),"")</f>
        <v/>
      </c>
      <c r="F136" s="17" t="n"/>
      <c r="G136" s="18" t="n"/>
      <c r="H136" s="18" t="n"/>
      <c r="J136" s="19">
        <f>IF(OR(G136="",H136=""),"",MAX(0,(H136-G136)*24-(I136/60)))</f>
        <v/>
      </c>
      <c r="K136" s="20">
        <f>IFERROR(VLOOKUP(D136,Jobs!$A:$G,5,FALSE),"")</f>
        <v/>
      </c>
      <c r="L136" s="20">
        <f>IF(OR(J136="",K136=""),"",J136*K136)</f>
        <v/>
      </c>
      <c r="M136" s="20" t="n"/>
      <c r="N136" s="20" t="n"/>
      <c r="O136" s="20">
        <f>IF(L136="","",L136+M136-N136)</f>
        <v/>
      </c>
      <c r="Q136" s="21" t="n"/>
      <c r="R136" s="21" t="n"/>
    </row>
    <row r="137">
      <c r="C137">
        <f>IFERROR(VLOOKUP(B137,Workers!$A:$H,2,FALSE),"")</f>
        <v/>
      </c>
      <c r="E137">
        <f>IFERROR(VLOOKUP(D137,Jobs!$A:$G,2,FALSE),"")</f>
        <v/>
      </c>
      <c r="F137" s="17" t="n"/>
      <c r="G137" s="18" t="n"/>
      <c r="H137" s="18" t="n"/>
      <c r="J137" s="19">
        <f>IF(OR(G137="",H137=""),"",MAX(0,(H137-G137)*24-(I137/60)))</f>
        <v/>
      </c>
      <c r="K137" s="20">
        <f>IFERROR(VLOOKUP(D137,Jobs!$A:$G,5,FALSE),"")</f>
        <v/>
      </c>
      <c r="L137" s="20">
        <f>IF(OR(J137="",K137=""),"",J137*K137)</f>
        <v/>
      </c>
      <c r="M137" s="20" t="n"/>
      <c r="N137" s="20" t="n"/>
      <c r="O137" s="20">
        <f>IF(L137="","",L137+M137-N137)</f>
        <v/>
      </c>
      <c r="Q137" s="21" t="n"/>
      <c r="R137" s="21" t="n"/>
    </row>
    <row r="138">
      <c r="C138">
        <f>IFERROR(VLOOKUP(B138,Workers!$A:$H,2,FALSE),"")</f>
        <v/>
      </c>
      <c r="E138">
        <f>IFERROR(VLOOKUP(D138,Jobs!$A:$G,2,FALSE),"")</f>
        <v/>
      </c>
      <c r="F138" s="17" t="n"/>
      <c r="G138" s="18" t="n"/>
      <c r="H138" s="18" t="n"/>
      <c r="J138" s="19">
        <f>IF(OR(G138="",H138=""),"",MAX(0,(H138-G138)*24-(I138/60)))</f>
        <v/>
      </c>
      <c r="K138" s="20">
        <f>IFERROR(VLOOKUP(D138,Jobs!$A:$G,5,FALSE),"")</f>
        <v/>
      </c>
      <c r="L138" s="20">
        <f>IF(OR(J138="",K138=""),"",J138*K138)</f>
        <v/>
      </c>
      <c r="M138" s="20" t="n"/>
      <c r="N138" s="20" t="n"/>
      <c r="O138" s="20">
        <f>IF(L138="","",L138+M138-N138)</f>
        <v/>
      </c>
      <c r="Q138" s="21" t="n"/>
      <c r="R138" s="21" t="n"/>
    </row>
    <row r="139">
      <c r="C139">
        <f>IFERROR(VLOOKUP(B139,Workers!$A:$H,2,FALSE),"")</f>
        <v/>
      </c>
      <c r="E139">
        <f>IFERROR(VLOOKUP(D139,Jobs!$A:$G,2,FALSE),"")</f>
        <v/>
      </c>
      <c r="F139" s="17" t="n"/>
      <c r="G139" s="18" t="n"/>
      <c r="H139" s="18" t="n"/>
      <c r="J139" s="19">
        <f>IF(OR(G139="",H139=""),"",MAX(0,(H139-G139)*24-(I139/60)))</f>
        <v/>
      </c>
      <c r="K139" s="20">
        <f>IFERROR(VLOOKUP(D139,Jobs!$A:$G,5,FALSE),"")</f>
        <v/>
      </c>
      <c r="L139" s="20">
        <f>IF(OR(J139="",K139=""),"",J139*K139)</f>
        <v/>
      </c>
      <c r="M139" s="20" t="n"/>
      <c r="N139" s="20" t="n"/>
      <c r="O139" s="20">
        <f>IF(L139="","",L139+M139-N139)</f>
        <v/>
      </c>
      <c r="Q139" s="21" t="n"/>
      <c r="R139" s="21" t="n"/>
    </row>
    <row r="140">
      <c r="C140">
        <f>IFERROR(VLOOKUP(B140,Workers!$A:$H,2,FALSE),"")</f>
        <v/>
      </c>
      <c r="E140">
        <f>IFERROR(VLOOKUP(D140,Jobs!$A:$G,2,FALSE),"")</f>
        <v/>
      </c>
      <c r="F140" s="17" t="n"/>
      <c r="G140" s="18" t="n"/>
      <c r="H140" s="18" t="n"/>
      <c r="J140" s="19">
        <f>IF(OR(G140="",H140=""),"",MAX(0,(H140-G140)*24-(I140/60)))</f>
        <v/>
      </c>
      <c r="K140" s="20">
        <f>IFERROR(VLOOKUP(D140,Jobs!$A:$G,5,FALSE),"")</f>
        <v/>
      </c>
      <c r="L140" s="20">
        <f>IF(OR(J140="",K140=""),"",J140*K140)</f>
        <v/>
      </c>
      <c r="M140" s="20" t="n"/>
      <c r="N140" s="20" t="n"/>
      <c r="O140" s="20">
        <f>IF(L140="","",L140+M140-N140)</f>
        <v/>
      </c>
      <c r="Q140" s="21" t="n"/>
      <c r="R140" s="21" t="n"/>
    </row>
    <row r="141">
      <c r="C141">
        <f>IFERROR(VLOOKUP(B141,Workers!$A:$H,2,FALSE),"")</f>
        <v/>
      </c>
      <c r="E141">
        <f>IFERROR(VLOOKUP(D141,Jobs!$A:$G,2,FALSE),"")</f>
        <v/>
      </c>
      <c r="F141" s="17" t="n"/>
      <c r="G141" s="18" t="n"/>
      <c r="H141" s="18" t="n"/>
      <c r="J141" s="19">
        <f>IF(OR(G141="",H141=""),"",MAX(0,(H141-G141)*24-(I141/60)))</f>
        <v/>
      </c>
      <c r="K141" s="20">
        <f>IFERROR(VLOOKUP(D141,Jobs!$A:$G,5,FALSE),"")</f>
        <v/>
      </c>
      <c r="L141" s="20">
        <f>IF(OR(J141="",K141=""),"",J141*K141)</f>
        <v/>
      </c>
      <c r="M141" s="20" t="n"/>
      <c r="N141" s="20" t="n"/>
      <c r="O141" s="20">
        <f>IF(L141="","",L141+M141-N141)</f>
        <v/>
      </c>
      <c r="Q141" s="21" t="n"/>
      <c r="R141" s="21" t="n"/>
    </row>
    <row r="142">
      <c r="C142">
        <f>IFERROR(VLOOKUP(B142,Workers!$A:$H,2,FALSE),"")</f>
        <v/>
      </c>
      <c r="E142">
        <f>IFERROR(VLOOKUP(D142,Jobs!$A:$G,2,FALSE),"")</f>
        <v/>
      </c>
      <c r="F142" s="17" t="n"/>
      <c r="G142" s="18" t="n"/>
      <c r="H142" s="18" t="n"/>
      <c r="J142" s="19">
        <f>IF(OR(G142="",H142=""),"",MAX(0,(H142-G142)*24-(I142/60)))</f>
        <v/>
      </c>
      <c r="K142" s="20">
        <f>IFERROR(VLOOKUP(D142,Jobs!$A:$G,5,FALSE),"")</f>
        <v/>
      </c>
      <c r="L142" s="20">
        <f>IF(OR(J142="",K142=""),"",J142*K142)</f>
        <v/>
      </c>
      <c r="M142" s="20" t="n"/>
      <c r="N142" s="20" t="n"/>
      <c r="O142" s="20">
        <f>IF(L142="","",L142+M142-N142)</f>
        <v/>
      </c>
      <c r="Q142" s="21" t="n"/>
      <c r="R142" s="21" t="n"/>
    </row>
    <row r="143">
      <c r="C143">
        <f>IFERROR(VLOOKUP(B143,Workers!$A:$H,2,FALSE),"")</f>
        <v/>
      </c>
      <c r="E143">
        <f>IFERROR(VLOOKUP(D143,Jobs!$A:$G,2,FALSE),"")</f>
        <v/>
      </c>
      <c r="F143" s="17" t="n"/>
      <c r="G143" s="18" t="n"/>
      <c r="H143" s="18" t="n"/>
      <c r="J143" s="19">
        <f>IF(OR(G143="",H143=""),"",MAX(0,(H143-G143)*24-(I143/60)))</f>
        <v/>
      </c>
      <c r="K143" s="20">
        <f>IFERROR(VLOOKUP(D143,Jobs!$A:$G,5,FALSE),"")</f>
        <v/>
      </c>
      <c r="L143" s="20">
        <f>IF(OR(J143="",K143=""),"",J143*K143)</f>
        <v/>
      </c>
      <c r="M143" s="20" t="n"/>
      <c r="N143" s="20" t="n"/>
      <c r="O143" s="20">
        <f>IF(L143="","",L143+M143-N143)</f>
        <v/>
      </c>
      <c r="Q143" s="21" t="n"/>
      <c r="R143" s="21" t="n"/>
    </row>
    <row r="144">
      <c r="C144">
        <f>IFERROR(VLOOKUP(B144,Workers!$A:$H,2,FALSE),"")</f>
        <v/>
      </c>
      <c r="E144">
        <f>IFERROR(VLOOKUP(D144,Jobs!$A:$G,2,FALSE),"")</f>
        <v/>
      </c>
      <c r="F144" s="17" t="n"/>
      <c r="G144" s="18" t="n"/>
      <c r="H144" s="18" t="n"/>
      <c r="J144" s="19">
        <f>IF(OR(G144="",H144=""),"",MAX(0,(H144-G144)*24-(I144/60)))</f>
        <v/>
      </c>
      <c r="K144" s="20">
        <f>IFERROR(VLOOKUP(D144,Jobs!$A:$G,5,FALSE),"")</f>
        <v/>
      </c>
      <c r="L144" s="20">
        <f>IF(OR(J144="",K144=""),"",J144*K144)</f>
        <v/>
      </c>
      <c r="M144" s="20" t="n"/>
      <c r="N144" s="20" t="n"/>
      <c r="O144" s="20">
        <f>IF(L144="","",L144+M144-N144)</f>
        <v/>
      </c>
      <c r="Q144" s="21" t="n"/>
      <c r="R144" s="21" t="n"/>
    </row>
    <row r="145">
      <c r="C145">
        <f>IFERROR(VLOOKUP(B145,Workers!$A:$H,2,FALSE),"")</f>
        <v/>
      </c>
      <c r="E145">
        <f>IFERROR(VLOOKUP(D145,Jobs!$A:$G,2,FALSE),"")</f>
        <v/>
      </c>
      <c r="F145" s="17" t="n"/>
      <c r="G145" s="18" t="n"/>
      <c r="H145" s="18" t="n"/>
      <c r="J145" s="19">
        <f>IF(OR(G145="",H145=""),"",MAX(0,(H145-G145)*24-(I145/60)))</f>
        <v/>
      </c>
      <c r="K145" s="20">
        <f>IFERROR(VLOOKUP(D145,Jobs!$A:$G,5,FALSE),"")</f>
        <v/>
      </c>
      <c r="L145" s="20">
        <f>IF(OR(J145="",K145=""),"",J145*K145)</f>
        <v/>
      </c>
      <c r="M145" s="20" t="n"/>
      <c r="N145" s="20" t="n"/>
      <c r="O145" s="20">
        <f>IF(L145="","",L145+M145-N145)</f>
        <v/>
      </c>
      <c r="Q145" s="21" t="n"/>
      <c r="R145" s="21" t="n"/>
    </row>
    <row r="146">
      <c r="C146">
        <f>IFERROR(VLOOKUP(B146,Workers!$A:$H,2,FALSE),"")</f>
        <v/>
      </c>
      <c r="E146">
        <f>IFERROR(VLOOKUP(D146,Jobs!$A:$G,2,FALSE),"")</f>
        <v/>
      </c>
      <c r="F146" s="17" t="n"/>
      <c r="G146" s="18" t="n"/>
      <c r="H146" s="18" t="n"/>
      <c r="J146" s="19">
        <f>IF(OR(G146="",H146=""),"",MAX(0,(H146-G146)*24-(I146/60)))</f>
        <v/>
      </c>
      <c r="K146" s="20">
        <f>IFERROR(VLOOKUP(D146,Jobs!$A:$G,5,FALSE),"")</f>
        <v/>
      </c>
      <c r="L146" s="20">
        <f>IF(OR(J146="",K146=""),"",J146*K146)</f>
        <v/>
      </c>
      <c r="M146" s="20" t="n"/>
      <c r="N146" s="20" t="n"/>
      <c r="O146" s="20">
        <f>IF(L146="","",L146+M146-N146)</f>
        <v/>
      </c>
      <c r="Q146" s="21" t="n"/>
      <c r="R146" s="21" t="n"/>
    </row>
    <row r="147">
      <c r="C147">
        <f>IFERROR(VLOOKUP(B147,Workers!$A:$H,2,FALSE),"")</f>
        <v/>
      </c>
      <c r="E147">
        <f>IFERROR(VLOOKUP(D147,Jobs!$A:$G,2,FALSE),"")</f>
        <v/>
      </c>
      <c r="F147" s="17" t="n"/>
      <c r="G147" s="18" t="n"/>
      <c r="H147" s="18" t="n"/>
      <c r="J147" s="19">
        <f>IF(OR(G147="",H147=""),"",MAX(0,(H147-G147)*24-(I147/60)))</f>
        <v/>
      </c>
      <c r="K147" s="20">
        <f>IFERROR(VLOOKUP(D147,Jobs!$A:$G,5,FALSE),"")</f>
        <v/>
      </c>
      <c r="L147" s="20">
        <f>IF(OR(J147="",K147=""),"",J147*K147)</f>
        <v/>
      </c>
      <c r="M147" s="20" t="n"/>
      <c r="N147" s="20" t="n"/>
      <c r="O147" s="20">
        <f>IF(L147="","",L147+M147-N147)</f>
        <v/>
      </c>
      <c r="Q147" s="21" t="n"/>
      <c r="R147" s="21" t="n"/>
    </row>
    <row r="148">
      <c r="C148">
        <f>IFERROR(VLOOKUP(B148,Workers!$A:$H,2,FALSE),"")</f>
        <v/>
      </c>
      <c r="E148">
        <f>IFERROR(VLOOKUP(D148,Jobs!$A:$G,2,FALSE),"")</f>
        <v/>
      </c>
      <c r="F148" s="17" t="n"/>
      <c r="G148" s="18" t="n"/>
      <c r="H148" s="18" t="n"/>
      <c r="J148" s="19">
        <f>IF(OR(G148="",H148=""),"",MAX(0,(H148-G148)*24-(I148/60)))</f>
        <v/>
      </c>
      <c r="K148" s="20">
        <f>IFERROR(VLOOKUP(D148,Jobs!$A:$G,5,FALSE),"")</f>
        <v/>
      </c>
      <c r="L148" s="20">
        <f>IF(OR(J148="",K148=""),"",J148*K148)</f>
        <v/>
      </c>
      <c r="M148" s="20" t="n"/>
      <c r="N148" s="20" t="n"/>
      <c r="O148" s="20">
        <f>IF(L148="","",L148+M148-N148)</f>
        <v/>
      </c>
      <c r="Q148" s="21" t="n"/>
      <c r="R148" s="21" t="n"/>
    </row>
    <row r="149">
      <c r="C149">
        <f>IFERROR(VLOOKUP(B149,Workers!$A:$H,2,FALSE),"")</f>
        <v/>
      </c>
      <c r="E149">
        <f>IFERROR(VLOOKUP(D149,Jobs!$A:$G,2,FALSE),"")</f>
        <v/>
      </c>
      <c r="F149" s="17" t="n"/>
      <c r="G149" s="18" t="n"/>
      <c r="H149" s="18" t="n"/>
      <c r="J149" s="19">
        <f>IF(OR(G149="",H149=""),"",MAX(0,(H149-G149)*24-(I149/60)))</f>
        <v/>
      </c>
      <c r="K149" s="20">
        <f>IFERROR(VLOOKUP(D149,Jobs!$A:$G,5,FALSE),"")</f>
        <v/>
      </c>
      <c r="L149" s="20">
        <f>IF(OR(J149="",K149=""),"",J149*K149)</f>
        <v/>
      </c>
      <c r="M149" s="20" t="n"/>
      <c r="N149" s="20" t="n"/>
      <c r="O149" s="20">
        <f>IF(L149="","",L149+M149-N149)</f>
        <v/>
      </c>
      <c r="Q149" s="21" t="n"/>
      <c r="R149" s="21" t="n"/>
    </row>
    <row r="150">
      <c r="C150">
        <f>IFERROR(VLOOKUP(B150,Workers!$A:$H,2,FALSE),"")</f>
        <v/>
      </c>
      <c r="E150">
        <f>IFERROR(VLOOKUP(D150,Jobs!$A:$G,2,FALSE),"")</f>
        <v/>
      </c>
      <c r="F150" s="17" t="n"/>
      <c r="G150" s="18" t="n"/>
      <c r="H150" s="18" t="n"/>
      <c r="J150" s="19">
        <f>IF(OR(G150="",H150=""),"",MAX(0,(H150-G150)*24-(I150/60)))</f>
        <v/>
      </c>
      <c r="K150" s="20">
        <f>IFERROR(VLOOKUP(D150,Jobs!$A:$G,5,FALSE),"")</f>
        <v/>
      </c>
      <c r="L150" s="20">
        <f>IF(OR(J150="",K150=""),"",J150*K150)</f>
        <v/>
      </c>
      <c r="M150" s="20" t="n"/>
      <c r="N150" s="20" t="n"/>
      <c r="O150" s="20">
        <f>IF(L150="","",L150+M150-N150)</f>
        <v/>
      </c>
      <c r="Q150" s="21" t="n"/>
      <c r="R150" s="21" t="n"/>
    </row>
    <row r="151">
      <c r="C151">
        <f>IFERROR(VLOOKUP(B151,Workers!$A:$H,2,FALSE),"")</f>
        <v/>
      </c>
      <c r="E151">
        <f>IFERROR(VLOOKUP(D151,Jobs!$A:$G,2,FALSE),"")</f>
        <v/>
      </c>
      <c r="F151" s="17" t="n"/>
      <c r="G151" s="18" t="n"/>
      <c r="H151" s="18" t="n"/>
      <c r="J151" s="19">
        <f>IF(OR(G151="",H151=""),"",MAX(0,(H151-G151)*24-(I151/60)))</f>
        <v/>
      </c>
      <c r="K151" s="20">
        <f>IFERROR(VLOOKUP(D151,Jobs!$A:$G,5,FALSE),"")</f>
        <v/>
      </c>
      <c r="L151" s="20">
        <f>IF(OR(J151="",K151=""),"",J151*K151)</f>
        <v/>
      </c>
      <c r="M151" s="20" t="n"/>
      <c r="N151" s="20" t="n"/>
      <c r="O151" s="20">
        <f>IF(L151="","",L151+M151-N151)</f>
        <v/>
      </c>
      <c r="Q151" s="21" t="n"/>
      <c r="R151" s="21" t="n"/>
    </row>
    <row r="152">
      <c r="C152">
        <f>IFERROR(VLOOKUP(B152,Workers!$A:$H,2,FALSE),"")</f>
        <v/>
      </c>
      <c r="E152">
        <f>IFERROR(VLOOKUP(D152,Jobs!$A:$G,2,FALSE),"")</f>
        <v/>
      </c>
      <c r="F152" s="17" t="n"/>
      <c r="G152" s="18" t="n"/>
      <c r="H152" s="18" t="n"/>
      <c r="J152" s="19">
        <f>IF(OR(G152="",H152=""),"",MAX(0,(H152-G152)*24-(I152/60)))</f>
        <v/>
      </c>
      <c r="K152" s="20">
        <f>IFERROR(VLOOKUP(D152,Jobs!$A:$G,5,FALSE),"")</f>
        <v/>
      </c>
      <c r="L152" s="20">
        <f>IF(OR(J152="",K152=""),"",J152*K152)</f>
        <v/>
      </c>
      <c r="M152" s="20" t="n"/>
      <c r="N152" s="20" t="n"/>
      <c r="O152" s="20">
        <f>IF(L152="","",L152+M152-N152)</f>
        <v/>
      </c>
      <c r="Q152" s="21" t="n"/>
      <c r="R152" s="21" t="n"/>
    </row>
    <row r="153">
      <c r="C153">
        <f>IFERROR(VLOOKUP(B153,Workers!$A:$H,2,FALSE),"")</f>
        <v/>
      </c>
      <c r="E153">
        <f>IFERROR(VLOOKUP(D153,Jobs!$A:$G,2,FALSE),"")</f>
        <v/>
      </c>
      <c r="F153" s="17" t="n"/>
      <c r="G153" s="18" t="n"/>
      <c r="H153" s="18" t="n"/>
      <c r="J153" s="19">
        <f>IF(OR(G153="",H153=""),"",MAX(0,(H153-G153)*24-(I153/60)))</f>
        <v/>
      </c>
      <c r="K153" s="20">
        <f>IFERROR(VLOOKUP(D153,Jobs!$A:$G,5,FALSE),"")</f>
        <v/>
      </c>
      <c r="L153" s="20">
        <f>IF(OR(J153="",K153=""),"",J153*K153)</f>
        <v/>
      </c>
      <c r="M153" s="20" t="n"/>
      <c r="N153" s="20" t="n"/>
      <c r="O153" s="20">
        <f>IF(L153="","",L153+M153-N153)</f>
        <v/>
      </c>
      <c r="Q153" s="21" t="n"/>
      <c r="R153" s="21" t="n"/>
    </row>
    <row r="154">
      <c r="C154">
        <f>IFERROR(VLOOKUP(B154,Workers!$A:$H,2,FALSE),"")</f>
        <v/>
      </c>
      <c r="E154">
        <f>IFERROR(VLOOKUP(D154,Jobs!$A:$G,2,FALSE),"")</f>
        <v/>
      </c>
      <c r="F154" s="17" t="n"/>
      <c r="G154" s="18" t="n"/>
      <c r="H154" s="18" t="n"/>
      <c r="J154" s="19">
        <f>IF(OR(G154="",H154=""),"",MAX(0,(H154-G154)*24-(I154/60)))</f>
        <v/>
      </c>
      <c r="K154" s="20">
        <f>IFERROR(VLOOKUP(D154,Jobs!$A:$G,5,FALSE),"")</f>
        <v/>
      </c>
      <c r="L154" s="20">
        <f>IF(OR(J154="",K154=""),"",J154*K154)</f>
        <v/>
      </c>
      <c r="M154" s="20" t="n"/>
      <c r="N154" s="20" t="n"/>
      <c r="O154" s="20">
        <f>IF(L154="","",L154+M154-N154)</f>
        <v/>
      </c>
      <c r="Q154" s="21" t="n"/>
      <c r="R154" s="21" t="n"/>
    </row>
    <row r="155">
      <c r="C155">
        <f>IFERROR(VLOOKUP(B155,Workers!$A:$H,2,FALSE),"")</f>
        <v/>
      </c>
      <c r="E155">
        <f>IFERROR(VLOOKUP(D155,Jobs!$A:$G,2,FALSE),"")</f>
        <v/>
      </c>
      <c r="F155" s="17" t="n"/>
      <c r="G155" s="18" t="n"/>
      <c r="H155" s="18" t="n"/>
      <c r="J155" s="19">
        <f>IF(OR(G155="",H155=""),"",MAX(0,(H155-G155)*24-(I155/60)))</f>
        <v/>
      </c>
      <c r="K155" s="20">
        <f>IFERROR(VLOOKUP(D155,Jobs!$A:$G,5,FALSE),"")</f>
        <v/>
      </c>
      <c r="L155" s="20">
        <f>IF(OR(J155="",K155=""),"",J155*K155)</f>
        <v/>
      </c>
      <c r="M155" s="20" t="n"/>
      <c r="N155" s="20" t="n"/>
      <c r="O155" s="20">
        <f>IF(L155="","",L155+M155-N155)</f>
        <v/>
      </c>
      <c r="Q155" s="21" t="n"/>
      <c r="R155" s="21" t="n"/>
    </row>
    <row r="156">
      <c r="C156">
        <f>IFERROR(VLOOKUP(B156,Workers!$A:$H,2,FALSE),"")</f>
        <v/>
      </c>
      <c r="E156">
        <f>IFERROR(VLOOKUP(D156,Jobs!$A:$G,2,FALSE),"")</f>
        <v/>
      </c>
      <c r="F156" s="17" t="n"/>
      <c r="G156" s="18" t="n"/>
      <c r="H156" s="18" t="n"/>
      <c r="J156" s="19">
        <f>IF(OR(G156="",H156=""),"",MAX(0,(H156-G156)*24-(I156/60)))</f>
        <v/>
      </c>
      <c r="K156" s="20">
        <f>IFERROR(VLOOKUP(D156,Jobs!$A:$G,5,FALSE),"")</f>
        <v/>
      </c>
      <c r="L156" s="20">
        <f>IF(OR(J156="",K156=""),"",J156*K156)</f>
        <v/>
      </c>
      <c r="M156" s="20" t="n"/>
      <c r="N156" s="20" t="n"/>
      <c r="O156" s="20">
        <f>IF(L156="","",L156+M156-N156)</f>
        <v/>
      </c>
      <c r="Q156" s="21" t="n"/>
      <c r="R156" s="21" t="n"/>
    </row>
    <row r="157">
      <c r="C157">
        <f>IFERROR(VLOOKUP(B157,Workers!$A:$H,2,FALSE),"")</f>
        <v/>
      </c>
      <c r="E157">
        <f>IFERROR(VLOOKUP(D157,Jobs!$A:$G,2,FALSE),"")</f>
        <v/>
      </c>
      <c r="F157" s="17" t="n"/>
      <c r="G157" s="18" t="n"/>
      <c r="H157" s="18" t="n"/>
      <c r="J157" s="19">
        <f>IF(OR(G157="",H157=""),"",MAX(0,(H157-G157)*24-(I157/60)))</f>
        <v/>
      </c>
      <c r="K157" s="20">
        <f>IFERROR(VLOOKUP(D157,Jobs!$A:$G,5,FALSE),"")</f>
        <v/>
      </c>
      <c r="L157" s="20">
        <f>IF(OR(J157="",K157=""),"",J157*K157)</f>
        <v/>
      </c>
      <c r="M157" s="20" t="n"/>
      <c r="N157" s="20" t="n"/>
      <c r="O157" s="20">
        <f>IF(L157="","",L157+M157-N157)</f>
        <v/>
      </c>
      <c r="Q157" s="21" t="n"/>
      <c r="R157" s="21" t="n"/>
    </row>
    <row r="158">
      <c r="C158">
        <f>IFERROR(VLOOKUP(B158,Workers!$A:$H,2,FALSE),"")</f>
        <v/>
      </c>
      <c r="E158">
        <f>IFERROR(VLOOKUP(D158,Jobs!$A:$G,2,FALSE),"")</f>
        <v/>
      </c>
      <c r="F158" s="17" t="n"/>
      <c r="G158" s="18" t="n"/>
      <c r="H158" s="18" t="n"/>
      <c r="J158" s="19">
        <f>IF(OR(G158="",H158=""),"",MAX(0,(H158-G158)*24-(I158/60)))</f>
        <v/>
      </c>
      <c r="K158" s="20">
        <f>IFERROR(VLOOKUP(D158,Jobs!$A:$G,5,FALSE),"")</f>
        <v/>
      </c>
      <c r="L158" s="20">
        <f>IF(OR(J158="",K158=""),"",J158*K158)</f>
        <v/>
      </c>
      <c r="M158" s="20" t="n"/>
      <c r="N158" s="20" t="n"/>
      <c r="O158" s="20">
        <f>IF(L158="","",L158+M158-N158)</f>
        <v/>
      </c>
      <c r="Q158" s="21" t="n"/>
      <c r="R158" s="21" t="n"/>
    </row>
    <row r="159">
      <c r="C159">
        <f>IFERROR(VLOOKUP(B159,Workers!$A:$H,2,FALSE),"")</f>
        <v/>
      </c>
      <c r="E159">
        <f>IFERROR(VLOOKUP(D159,Jobs!$A:$G,2,FALSE),"")</f>
        <v/>
      </c>
      <c r="F159" s="17" t="n"/>
      <c r="G159" s="18" t="n"/>
      <c r="H159" s="18" t="n"/>
      <c r="J159" s="19">
        <f>IF(OR(G159="",H159=""),"",MAX(0,(H159-G159)*24-(I159/60)))</f>
        <v/>
      </c>
      <c r="K159" s="20">
        <f>IFERROR(VLOOKUP(D159,Jobs!$A:$G,5,FALSE),"")</f>
        <v/>
      </c>
      <c r="L159" s="20">
        <f>IF(OR(J159="",K159=""),"",J159*K159)</f>
        <v/>
      </c>
      <c r="M159" s="20" t="n"/>
      <c r="N159" s="20" t="n"/>
      <c r="O159" s="20">
        <f>IF(L159="","",L159+M159-N159)</f>
        <v/>
      </c>
      <c r="Q159" s="21" t="n"/>
      <c r="R159" s="21" t="n"/>
    </row>
    <row r="160">
      <c r="C160">
        <f>IFERROR(VLOOKUP(B160,Workers!$A:$H,2,FALSE),"")</f>
        <v/>
      </c>
      <c r="E160">
        <f>IFERROR(VLOOKUP(D160,Jobs!$A:$G,2,FALSE),"")</f>
        <v/>
      </c>
      <c r="F160" s="17" t="n"/>
      <c r="G160" s="18" t="n"/>
      <c r="H160" s="18" t="n"/>
      <c r="J160" s="19">
        <f>IF(OR(G160="",H160=""),"",MAX(0,(H160-G160)*24-(I160/60)))</f>
        <v/>
      </c>
      <c r="K160" s="20">
        <f>IFERROR(VLOOKUP(D160,Jobs!$A:$G,5,FALSE),"")</f>
        <v/>
      </c>
      <c r="L160" s="20">
        <f>IF(OR(J160="",K160=""),"",J160*K160)</f>
        <v/>
      </c>
      <c r="M160" s="20" t="n"/>
      <c r="N160" s="20" t="n"/>
      <c r="O160" s="20">
        <f>IF(L160="","",L160+M160-N160)</f>
        <v/>
      </c>
      <c r="Q160" s="21" t="n"/>
      <c r="R160" s="21" t="n"/>
    </row>
    <row r="161">
      <c r="C161">
        <f>IFERROR(VLOOKUP(B161,Workers!$A:$H,2,FALSE),"")</f>
        <v/>
      </c>
      <c r="E161">
        <f>IFERROR(VLOOKUP(D161,Jobs!$A:$G,2,FALSE),"")</f>
        <v/>
      </c>
      <c r="F161" s="17" t="n"/>
      <c r="G161" s="18" t="n"/>
      <c r="H161" s="18" t="n"/>
      <c r="J161" s="19">
        <f>IF(OR(G161="",H161=""),"",MAX(0,(H161-G161)*24-(I161/60)))</f>
        <v/>
      </c>
      <c r="K161" s="20">
        <f>IFERROR(VLOOKUP(D161,Jobs!$A:$G,5,FALSE),"")</f>
        <v/>
      </c>
      <c r="L161" s="20">
        <f>IF(OR(J161="",K161=""),"",J161*K161)</f>
        <v/>
      </c>
      <c r="M161" s="20" t="n"/>
      <c r="N161" s="20" t="n"/>
      <c r="O161" s="20">
        <f>IF(L161="","",L161+M161-N161)</f>
        <v/>
      </c>
      <c r="Q161" s="21" t="n"/>
      <c r="R161" s="21" t="n"/>
    </row>
    <row r="162">
      <c r="C162">
        <f>IFERROR(VLOOKUP(B162,Workers!$A:$H,2,FALSE),"")</f>
        <v/>
      </c>
      <c r="E162">
        <f>IFERROR(VLOOKUP(D162,Jobs!$A:$G,2,FALSE),"")</f>
        <v/>
      </c>
      <c r="F162" s="17" t="n"/>
      <c r="G162" s="18" t="n"/>
      <c r="H162" s="18" t="n"/>
      <c r="J162" s="19">
        <f>IF(OR(G162="",H162=""),"",MAX(0,(H162-G162)*24-(I162/60)))</f>
        <v/>
      </c>
      <c r="K162" s="20">
        <f>IFERROR(VLOOKUP(D162,Jobs!$A:$G,5,FALSE),"")</f>
        <v/>
      </c>
      <c r="L162" s="20">
        <f>IF(OR(J162="",K162=""),"",J162*K162)</f>
        <v/>
      </c>
      <c r="M162" s="20" t="n"/>
      <c r="N162" s="20" t="n"/>
      <c r="O162" s="20">
        <f>IF(L162="","",L162+M162-N162)</f>
        <v/>
      </c>
      <c r="Q162" s="21" t="n"/>
      <c r="R162" s="21" t="n"/>
    </row>
    <row r="163">
      <c r="C163">
        <f>IFERROR(VLOOKUP(B163,Workers!$A:$H,2,FALSE),"")</f>
        <v/>
      </c>
      <c r="E163">
        <f>IFERROR(VLOOKUP(D163,Jobs!$A:$G,2,FALSE),"")</f>
        <v/>
      </c>
      <c r="F163" s="17" t="n"/>
      <c r="G163" s="18" t="n"/>
      <c r="H163" s="18" t="n"/>
      <c r="J163" s="19">
        <f>IF(OR(G163="",H163=""),"",MAX(0,(H163-G163)*24-(I163/60)))</f>
        <v/>
      </c>
      <c r="K163" s="20">
        <f>IFERROR(VLOOKUP(D163,Jobs!$A:$G,5,FALSE),"")</f>
        <v/>
      </c>
      <c r="L163" s="20">
        <f>IF(OR(J163="",K163=""),"",J163*K163)</f>
        <v/>
      </c>
      <c r="M163" s="20" t="n"/>
      <c r="N163" s="20" t="n"/>
      <c r="O163" s="20">
        <f>IF(L163="","",L163+M163-N163)</f>
        <v/>
      </c>
      <c r="Q163" s="21" t="n"/>
      <c r="R163" s="21" t="n"/>
    </row>
    <row r="164">
      <c r="C164">
        <f>IFERROR(VLOOKUP(B164,Workers!$A:$H,2,FALSE),"")</f>
        <v/>
      </c>
      <c r="E164">
        <f>IFERROR(VLOOKUP(D164,Jobs!$A:$G,2,FALSE),"")</f>
        <v/>
      </c>
      <c r="F164" s="17" t="n"/>
      <c r="G164" s="18" t="n"/>
      <c r="H164" s="18" t="n"/>
      <c r="J164" s="19">
        <f>IF(OR(G164="",H164=""),"",MAX(0,(H164-G164)*24-(I164/60)))</f>
        <v/>
      </c>
      <c r="K164" s="20">
        <f>IFERROR(VLOOKUP(D164,Jobs!$A:$G,5,FALSE),"")</f>
        <v/>
      </c>
      <c r="L164" s="20">
        <f>IF(OR(J164="",K164=""),"",J164*K164)</f>
        <v/>
      </c>
      <c r="M164" s="20" t="n"/>
      <c r="N164" s="20" t="n"/>
      <c r="O164" s="20">
        <f>IF(L164="","",L164+M164-N164)</f>
        <v/>
      </c>
      <c r="Q164" s="21" t="n"/>
      <c r="R164" s="21" t="n"/>
    </row>
    <row r="165">
      <c r="C165">
        <f>IFERROR(VLOOKUP(B165,Workers!$A:$H,2,FALSE),"")</f>
        <v/>
      </c>
      <c r="E165">
        <f>IFERROR(VLOOKUP(D165,Jobs!$A:$G,2,FALSE),"")</f>
        <v/>
      </c>
      <c r="F165" s="17" t="n"/>
      <c r="G165" s="18" t="n"/>
      <c r="H165" s="18" t="n"/>
      <c r="J165" s="19">
        <f>IF(OR(G165="",H165=""),"",MAX(0,(H165-G165)*24-(I165/60)))</f>
        <v/>
      </c>
      <c r="K165" s="20">
        <f>IFERROR(VLOOKUP(D165,Jobs!$A:$G,5,FALSE),"")</f>
        <v/>
      </c>
      <c r="L165" s="20">
        <f>IF(OR(J165="",K165=""),"",J165*K165)</f>
        <v/>
      </c>
      <c r="M165" s="20" t="n"/>
      <c r="N165" s="20" t="n"/>
      <c r="O165" s="20">
        <f>IF(L165="","",L165+M165-N165)</f>
        <v/>
      </c>
      <c r="Q165" s="21" t="n"/>
      <c r="R165" s="21" t="n"/>
    </row>
    <row r="166">
      <c r="C166">
        <f>IFERROR(VLOOKUP(B166,Workers!$A:$H,2,FALSE),"")</f>
        <v/>
      </c>
      <c r="E166">
        <f>IFERROR(VLOOKUP(D166,Jobs!$A:$G,2,FALSE),"")</f>
        <v/>
      </c>
      <c r="F166" s="17" t="n"/>
      <c r="G166" s="18" t="n"/>
      <c r="H166" s="18" t="n"/>
      <c r="J166" s="19">
        <f>IF(OR(G166="",H166=""),"",MAX(0,(H166-G166)*24-(I166/60)))</f>
        <v/>
      </c>
      <c r="K166" s="20">
        <f>IFERROR(VLOOKUP(D166,Jobs!$A:$G,5,FALSE),"")</f>
        <v/>
      </c>
      <c r="L166" s="20">
        <f>IF(OR(J166="",K166=""),"",J166*K166)</f>
        <v/>
      </c>
      <c r="M166" s="20" t="n"/>
      <c r="N166" s="20" t="n"/>
      <c r="O166" s="20">
        <f>IF(L166="","",L166+M166-N166)</f>
        <v/>
      </c>
      <c r="Q166" s="21" t="n"/>
      <c r="R166" s="21" t="n"/>
    </row>
    <row r="167">
      <c r="C167">
        <f>IFERROR(VLOOKUP(B167,Workers!$A:$H,2,FALSE),"")</f>
        <v/>
      </c>
      <c r="E167">
        <f>IFERROR(VLOOKUP(D167,Jobs!$A:$G,2,FALSE),"")</f>
        <v/>
      </c>
      <c r="F167" s="17" t="n"/>
      <c r="G167" s="18" t="n"/>
      <c r="H167" s="18" t="n"/>
      <c r="J167" s="19">
        <f>IF(OR(G167="",H167=""),"",MAX(0,(H167-G167)*24-(I167/60)))</f>
        <v/>
      </c>
      <c r="K167" s="20">
        <f>IFERROR(VLOOKUP(D167,Jobs!$A:$G,5,FALSE),"")</f>
        <v/>
      </c>
      <c r="L167" s="20">
        <f>IF(OR(J167="",K167=""),"",J167*K167)</f>
        <v/>
      </c>
      <c r="M167" s="20" t="n"/>
      <c r="N167" s="20" t="n"/>
      <c r="O167" s="20">
        <f>IF(L167="","",L167+M167-N167)</f>
        <v/>
      </c>
      <c r="Q167" s="21" t="n"/>
      <c r="R167" s="21" t="n"/>
    </row>
    <row r="168">
      <c r="C168">
        <f>IFERROR(VLOOKUP(B168,Workers!$A:$H,2,FALSE),"")</f>
        <v/>
      </c>
      <c r="E168">
        <f>IFERROR(VLOOKUP(D168,Jobs!$A:$G,2,FALSE),"")</f>
        <v/>
      </c>
      <c r="F168" s="17" t="n"/>
      <c r="G168" s="18" t="n"/>
      <c r="H168" s="18" t="n"/>
      <c r="J168" s="19">
        <f>IF(OR(G168="",H168=""),"",MAX(0,(H168-G168)*24-(I168/60)))</f>
        <v/>
      </c>
      <c r="K168" s="20">
        <f>IFERROR(VLOOKUP(D168,Jobs!$A:$G,5,FALSE),"")</f>
        <v/>
      </c>
      <c r="L168" s="20">
        <f>IF(OR(J168="",K168=""),"",J168*K168)</f>
        <v/>
      </c>
      <c r="M168" s="20" t="n"/>
      <c r="N168" s="20" t="n"/>
      <c r="O168" s="20">
        <f>IF(L168="","",L168+M168-N168)</f>
        <v/>
      </c>
      <c r="Q168" s="21" t="n"/>
      <c r="R168" s="21" t="n"/>
    </row>
    <row r="169">
      <c r="C169">
        <f>IFERROR(VLOOKUP(B169,Workers!$A:$H,2,FALSE),"")</f>
        <v/>
      </c>
      <c r="E169">
        <f>IFERROR(VLOOKUP(D169,Jobs!$A:$G,2,FALSE),"")</f>
        <v/>
      </c>
      <c r="F169" s="17" t="n"/>
      <c r="G169" s="18" t="n"/>
      <c r="H169" s="18" t="n"/>
      <c r="J169" s="19">
        <f>IF(OR(G169="",H169=""),"",MAX(0,(H169-G169)*24-(I169/60)))</f>
        <v/>
      </c>
      <c r="K169" s="20">
        <f>IFERROR(VLOOKUP(D169,Jobs!$A:$G,5,FALSE),"")</f>
        <v/>
      </c>
      <c r="L169" s="20">
        <f>IF(OR(J169="",K169=""),"",J169*K169)</f>
        <v/>
      </c>
      <c r="M169" s="20" t="n"/>
      <c r="N169" s="20" t="n"/>
      <c r="O169" s="20">
        <f>IF(L169="","",L169+M169-N169)</f>
        <v/>
      </c>
      <c r="Q169" s="21" t="n"/>
      <c r="R169" s="21" t="n"/>
    </row>
    <row r="170">
      <c r="C170">
        <f>IFERROR(VLOOKUP(B170,Workers!$A:$H,2,FALSE),"")</f>
        <v/>
      </c>
      <c r="E170">
        <f>IFERROR(VLOOKUP(D170,Jobs!$A:$G,2,FALSE),"")</f>
        <v/>
      </c>
      <c r="F170" s="17" t="n"/>
      <c r="G170" s="18" t="n"/>
      <c r="H170" s="18" t="n"/>
      <c r="J170" s="19">
        <f>IF(OR(G170="",H170=""),"",MAX(0,(H170-G170)*24-(I170/60)))</f>
        <v/>
      </c>
      <c r="K170" s="20">
        <f>IFERROR(VLOOKUP(D170,Jobs!$A:$G,5,FALSE),"")</f>
        <v/>
      </c>
      <c r="L170" s="20">
        <f>IF(OR(J170="",K170=""),"",J170*K170)</f>
        <v/>
      </c>
      <c r="M170" s="20" t="n"/>
      <c r="N170" s="20" t="n"/>
      <c r="O170" s="20">
        <f>IF(L170="","",L170+M170-N170)</f>
        <v/>
      </c>
      <c r="Q170" s="21" t="n"/>
      <c r="R170" s="21" t="n"/>
    </row>
    <row r="171">
      <c r="C171">
        <f>IFERROR(VLOOKUP(B171,Workers!$A:$H,2,FALSE),"")</f>
        <v/>
      </c>
      <c r="E171">
        <f>IFERROR(VLOOKUP(D171,Jobs!$A:$G,2,FALSE),"")</f>
        <v/>
      </c>
      <c r="F171" s="17" t="n"/>
      <c r="G171" s="18" t="n"/>
      <c r="H171" s="18" t="n"/>
      <c r="J171" s="19">
        <f>IF(OR(G171="",H171=""),"",MAX(0,(H171-G171)*24-(I171/60)))</f>
        <v/>
      </c>
      <c r="K171" s="20">
        <f>IFERROR(VLOOKUP(D171,Jobs!$A:$G,5,FALSE),"")</f>
        <v/>
      </c>
      <c r="L171" s="20">
        <f>IF(OR(J171="",K171=""),"",J171*K171)</f>
        <v/>
      </c>
      <c r="M171" s="20" t="n"/>
      <c r="N171" s="20" t="n"/>
      <c r="O171" s="20">
        <f>IF(L171="","",L171+M171-N171)</f>
        <v/>
      </c>
      <c r="Q171" s="21" t="n"/>
      <c r="R171" s="21" t="n"/>
    </row>
    <row r="172">
      <c r="C172">
        <f>IFERROR(VLOOKUP(B172,Workers!$A:$H,2,FALSE),"")</f>
        <v/>
      </c>
      <c r="E172">
        <f>IFERROR(VLOOKUP(D172,Jobs!$A:$G,2,FALSE),"")</f>
        <v/>
      </c>
      <c r="F172" s="17" t="n"/>
      <c r="G172" s="18" t="n"/>
      <c r="H172" s="18" t="n"/>
      <c r="J172" s="19">
        <f>IF(OR(G172="",H172=""),"",MAX(0,(H172-G172)*24-(I172/60)))</f>
        <v/>
      </c>
      <c r="K172" s="20">
        <f>IFERROR(VLOOKUP(D172,Jobs!$A:$G,5,FALSE),"")</f>
        <v/>
      </c>
      <c r="L172" s="20">
        <f>IF(OR(J172="",K172=""),"",J172*K172)</f>
        <v/>
      </c>
      <c r="M172" s="20" t="n"/>
      <c r="N172" s="20" t="n"/>
      <c r="O172" s="20">
        <f>IF(L172="","",L172+M172-N172)</f>
        <v/>
      </c>
      <c r="Q172" s="21" t="n"/>
      <c r="R172" s="21" t="n"/>
    </row>
    <row r="173">
      <c r="C173">
        <f>IFERROR(VLOOKUP(B173,Workers!$A:$H,2,FALSE),"")</f>
        <v/>
      </c>
      <c r="E173">
        <f>IFERROR(VLOOKUP(D173,Jobs!$A:$G,2,FALSE),"")</f>
        <v/>
      </c>
      <c r="F173" s="17" t="n"/>
      <c r="G173" s="18" t="n"/>
      <c r="H173" s="18" t="n"/>
      <c r="J173" s="19">
        <f>IF(OR(G173="",H173=""),"",MAX(0,(H173-G173)*24-(I173/60)))</f>
        <v/>
      </c>
      <c r="K173" s="20">
        <f>IFERROR(VLOOKUP(D173,Jobs!$A:$G,5,FALSE),"")</f>
        <v/>
      </c>
      <c r="L173" s="20">
        <f>IF(OR(J173="",K173=""),"",J173*K173)</f>
        <v/>
      </c>
      <c r="M173" s="20" t="n"/>
      <c r="N173" s="20" t="n"/>
      <c r="O173" s="20">
        <f>IF(L173="","",L173+M173-N173)</f>
        <v/>
      </c>
      <c r="Q173" s="21" t="n"/>
      <c r="R173" s="21" t="n"/>
    </row>
    <row r="174">
      <c r="C174">
        <f>IFERROR(VLOOKUP(B174,Workers!$A:$H,2,FALSE),"")</f>
        <v/>
      </c>
      <c r="E174">
        <f>IFERROR(VLOOKUP(D174,Jobs!$A:$G,2,FALSE),"")</f>
        <v/>
      </c>
      <c r="F174" s="17" t="n"/>
      <c r="G174" s="18" t="n"/>
      <c r="H174" s="18" t="n"/>
      <c r="J174" s="19">
        <f>IF(OR(G174="",H174=""),"",MAX(0,(H174-G174)*24-(I174/60)))</f>
        <v/>
      </c>
      <c r="K174" s="20">
        <f>IFERROR(VLOOKUP(D174,Jobs!$A:$G,5,FALSE),"")</f>
        <v/>
      </c>
      <c r="L174" s="20">
        <f>IF(OR(J174="",K174=""),"",J174*K174)</f>
        <v/>
      </c>
      <c r="M174" s="20" t="n"/>
      <c r="N174" s="20" t="n"/>
      <c r="O174" s="20">
        <f>IF(L174="","",L174+M174-N174)</f>
        <v/>
      </c>
      <c r="Q174" s="21" t="n"/>
      <c r="R174" s="21" t="n"/>
    </row>
    <row r="175">
      <c r="C175">
        <f>IFERROR(VLOOKUP(B175,Workers!$A:$H,2,FALSE),"")</f>
        <v/>
      </c>
      <c r="E175">
        <f>IFERROR(VLOOKUP(D175,Jobs!$A:$G,2,FALSE),"")</f>
        <v/>
      </c>
      <c r="F175" s="17" t="n"/>
      <c r="G175" s="18" t="n"/>
      <c r="H175" s="18" t="n"/>
      <c r="J175" s="19">
        <f>IF(OR(G175="",H175=""),"",MAX(0,(H175-G175)*24-(I175/60)))</f>
        <v/>
      </c>
      <c r="K175" s="20">
        <f>IFERROR(VLOOKUP(D175,Jobs!$A:$G,5,FALSE),"")</f>
        <v/>
      </c>
      <c r="L175" s="20">
        <f>IF(OR(J175="",K175=""),"",J175*K175)</f>
        <v/>
      </c>
      <c r="M175" s="20" t="n"/>
      <c r="N175" s="20" t="n"/>
      <c r="O175" s="20">
        <f>IF(L175="","",L175+M175-N175)</f>
        <v/>
      </c>
      <c r="Q175" s="21" t="n"/>
      <c r="R175" s="21" t="n"/>
    </row>
    <row r="176">
      <c r="C176">
        <f>IFERROR(VLOOKUP(B176,Workers!$A:$H,2,FALSE),"")</f>
        <v/>
      </c>
      <c r="E176">
        <f>IFERROR(VLOOKUP(D176,Jobs!$A:$G,2,FALSE),"")</f>
        <v/>
      </c>
      <c r="F176" s="17" t="n"/>
      <c r="G176" s="18" t="n"/>
      <c r="H176" s="18" t="n"/>
      <c r="J176" s="19">
        <f>IF(OR(G176="",H176=""),"",MAX(0,(H176-G176)*24-(I176/60)))</f>
        <v/>
      </c>
      <c r="K176" s="20">
        <f>IFERROR(VLOOKUP(D176,Jobs!$A:$G,5,FALSE),"")</f>
        <v/>
      </c>
      <c r="L176" s="20">
        <f>IF(OR(J176="",K176=""),"",J176*K176)</f>
        <v/>
      </c>
      <c r="M176" s="20" t="n"/>
      <c r="N176" s="20" t="n"/>
      <c r="O176" s="20">
        <f>IF(L176="","",L176+M176-N176)</f>
        <v/>
      </c>
      <c r="Q176" s="21" t="n"/>
      <c r="R176" s="21" t="n"/>
    </row>
    <row r="177">
      <c r="C177">
        <f>IFERROR(VLOOKUP(B177,Workers!$A:$H,2,FALSE),"")</f>
        <v/>
      </c>
      <c r="E177">
        <f>IFERROR(VLOOKUP(D177,Jobs!$A:$G,2,FALSE),"")</f>
        <v/>
      </c>
      <c r="F177" s="17" t="n"/>
      <c r="G177" s="18" t="n"/>
      <c r="H177" s="18" t="n"/>
      <c r="J177" s="19">
        <f>IF(OR(G177="",H177=""),"",MAX(0,(H177-G177)*24-(I177/60)))</f>
        <v/>
      </c>
      <c r="K177" s="20">
        <f>IFERROR(VLOOKUP(D177,Jobs!$A:$G,5,FALSE),"")</f>
        <v/>
      </c>
      <c r="L177" s="20">
        <f>IF(OR(J177="",K177=""),"",J177*K177)</f>
        <v/>
      </c>
      <c r="M177" s="20" t="n"/>
      <c r="N177" s="20" t="n"/>
      <c r="O177" s="20">
        <f>IF(L177="","",L177+M177-N177)</f>
        <v/>
      </c>
      <c r="Q177" s="21" t="n"/>
      <c r="R177" s="21" t="n"/>
    </row>
    <row r="178">
      <c r="C178">
        <f>IFERROR(VLOOKUP(B178,Workers!$A:$H,2,FALSE),"")</f>
        <v/>
      </c>
      <c r="E178">
        <f>IFERROR(VLOOKUP(D178,Jobs!$A:$G,2,FALSE),"")</f>
        <v/>
      </c>
      <c r="F178" s="17" t="n"/>
      <c r="G178" s="18" t="n"/>
      <c r="H178" s="18" t="n"/>
      <c r="J178" s="19">
        <f>IF(OR(G178="",H178=""),"",MAX(0,(H178-G178)*24-(I178/60)))</f>
        <v/>
      </c>
      <c r="K178" s="20">
        <f>IFERROR(VLOOKUP(D178,Jobs!$A:$G,5,FALSE),"")</f>
        <v/>
      </c>
      <c r="L178" s="20">
        <f>IF(OR(J178="",K178=""),"",J178*K178)</f>
        <v/>
      </c>
      <c r="M178" s="20" t="n"/>
      <c r="N178" s="20" t="n"/>
      <c r="O178" s="20">
        <f>IF(L178="","",L178+M178-N178)</f>
        <v/>
      </c>
      <c r="Q178" s="21" t="n"/>
      <c r="R178" s="21" t="n"/>
    </row>
    <row r="179">
      <c r="C179">
        <f>IFERROR(VLOOKUP(B179,Workers!$A:$H,2,FALSE),"")</f>
        <v/>
      </c>
      <c r="E179">
        <f>IFERROR(VLOOKUP(D179,Jobs!$A:$G,2,FALSE),"")</f>
        <v/>
      </c>
      <c r="F179" s="17" t="n"/>
      <c r="G179" s="18" t="n"/>
      <c r="H179" s="18" t="n"/>
      <c r="J179" s="19">
        <f>IF(OR(G179="",H179=""),"",MAX(0,(H179-G179)*24-(I179/60)))</f>
        <v/>
      </c>
      <c r="K179" s="20">
        <f>IFERROR(VLOOKUP(D179,Jobs!$A:$G,5,FALSE),"")</f>
        <v/>
      </c>
      <c r="L179" s="20">
        <f>IF(OR(J179="",K179=""),"",J179*K179)</f>
        <v/>
      </c>
      <c r="M179" s="20" t="n"/>
      <c r="N179" s="20" t="n"/>
      <c r="O179" s="20">
        <f>IF(L179="","",L179+M179-N179)</f>
        <v/>
      </c>
      <c r="Q179" s="21" t="n"/>
      <c r="R179" s="21" t="n"/>
    </row>
    <row r="180">
      <c r="C180">
        <f>IFERROR(VLOOKUP(B180,Workers!$A:$H,2,FALSE),"")</f>
        <v/>
      </c>
      <c r="E180">
        <f>IFERROR(VLOOKUP(D180,Jobs!$A:$G,2,FALSE),"")</f>
        <v/>
      </c>
      <c r="F180" s="17" t="n"/>
      <c r="G180" s="18" t="n"/>
      <c r="H180" s="18" t="n"/>
      <c r="J180" s="19">
        <f>IF(OR(G180="",H180=""),"",MAX(0,(H180-G180)*24-(I180/60)))</f>
        <v/>
      </c>
      <c r="K180" s="20">
        <f>IFERROR(VLOOKUP(D180,Jobs!$A:$G,5,FALSE),"")</f>
        <v/>
      </c>
      <c r="L180" s="20">
        <f>IF(OR(J180="",K180=""),"",J180*K180)</f>
        <v/>
      </c>
      <c r="M180" s="20" t="n"/>
      <c r="N180" s="20" t="n"/>
      <c r="O180" s="20">
        <f>IF(L180="","",L180+M180-N180)</f>
        <v/>
      </c>
      <c r="Q180" s="21" t="n"/>
      <c r="R180" s="21" t="n"/>
    </row>
    <row r="181">
      <c r="C181">
        <f>IFERROR(VLOOKUP(B181,Workers!$A:$H,2,FALSE),"")</f>
        <v/>
      </c>
      <c r="E181">
        <f>IFERROR(VLOOKUP(D181,Jobs!$A:$G,2,FALSE),"")</f>
        <v/>
      </c>
      <c r="F181" s="17" t="n"/>
      <c r="G181" s="18" t="n"/>
      <c r="H181" s="18" t="n"/>
      <c r="J181" s="19">
        <f>IF(OR(G181="",H181=""),"",MAX(0,(H181-G181)*24-(I181/60)))</f>
        <v/>
      </c>
      <c r="K181" s="20">
        <f>IFERROR(VLOOKUP(D181,Jobs!$A:$G,5,FALSE),"")</f>
        <v/>
      </c>
      <c r="L181" s="20">
        <f>IF(OR(J181="",K181=""),"",J181*K181)</f>
        <v/>
      </c>
      <c r="M181" s="20" t="n"/>
      <c r="N181" s="20" t="n"/>
      <c r="O181" s="20">
        <f>IF(L181="","",L181+M181-N181)</f>
        <v/>
      </c>
      <c r="Q181" s="21" t="n"/>
      <c r="R181" s="21" t="n"/>
    </row>
    <row r="182">
      <c r="C182">
        <f>IFERROR(VLOOKUP(B182,Workers!$A:$H,2,FALSE),"")</f>
        <v/>
      </c>
      <c r="E182">
        <f>IFERROR(VLOOKUP(D182,Jobs!$A:$G,2,FALSE),"")</f>
        <v/>
      </c>
      <c r="F182" s="17" t="n"/>
      <c r="G182" s="18" t="n"/>
      <c r="H182" s="18" t="n"/>
      <c r="J182" s="19">
        <f>IF(OR(G182="",H182=""),"",MAX(0,(H182-G182)*24-(I182/60)))</f>
        <v/>
      </c>
      <c r="K182" s="20">
        <f>IFERROR(VLOOKUP(D182,Jobs!$A:$G,5,FALSE),"")</f>
        <v/>
      </c>
      <c r="L182" s="20">
        <f>IF(OR(J182="",K182=""),"",J182*K182)</f>
        <v/>
      </c>
      <c r="M182" s="20" t="n"/>
      <c r="N182" s="20" t="n"/>
      <c r="O182" s="20">
        <f>IF(L182="","",L182+M182-N182)</f>
        <v/>
      </c>
      <c r="Q182" s="21" t="n"/>
      <c r="R182" s="21" t="n"/>
    </row>
    <row r="183">
      <c r="C183">
        <f>IFERROR(VLOOKUP(B183,Workers!$A:$H,2,FALSE),"")</f>
        <v/>
      </c>
      <c r="E183">
        <f>IFERROR(VLOOKUP(D183,Jobs!$A:$G,2,FALSE),"")</f>
        <v/>
      </c>
      <c r="F183" s="17" t="n"/>
      <c r="G183" s="18" t="n"/>
      <c r="H183" s="18" t="n"/>
      <c r="J183" s="19">
        <f>IF(OR(G183="",H183=""),"",MAX(0,(H183-G183)*24-(I183/60)))</f>
        <v/>
      </c>
      <c r="K183" s="20">
        <f>IFERROR(VLOOKUP(D183,Jobs!$A:$G,5,FALSE),"")</f>
        <v/>
      </c>
      <c r="L183" s="20">
        <f>IF(OR(J183="",K183=""),"",J183*K183)</f>
        <v/>
      </c>
      <c r="M183" s="20" t="n"/>
      <c r="N183" s="20" t="n"/>
      <c r="O183" s="20">
        <f>IF(L183="","",L183+M183-N183)</f>
        <v/>
      </c>
      <c r="Q183" s="21" t="n"/>
      <c r="R183" s="21" t="n"/>
    </row>
    <row r="184">
      <c r="C184">
        <f>IFERROR(VLOOKUP(B184,Workers!$A:$H,2,FALSE),"")</f>
        <v/>
      </c>
      <c r="E184">
        <f>IFERROR(VLOOKUP(D184,Jobs!$A:$G,2,FALSE),"")</f>
        <v/>
      </c>
      <c r="F184" s="17" t="n"/>
      <c r="G184" s="18" t="n"/>
      <c r="H184" s="18" t="n"/>
      <c r="J184" s="19">
        <f>IF(OR(G184="",H184=""),"",MAX(0,(H184-G184)*24-(I184/60)))</f>
        <v/>
      </c>
      <c r="K184" s="20">
        <f>IFERROR(VLOOKUP(D184,Jobs!$A:$G,5,FALSE),"")</f>
        <v/>
      </c>
      <c r="L184" s="20">
        <f>IF(OR(J184="",K184=""),"",J184*K184)</f>
        <v/>
      </c>
      <c r="M184" s="20" t="n"/>
      <c r="N184" s="20" t="n"/>
      <c r="O184" s="20">
        <f>IF(L184="","",L184+M184-N184)</f>
        <v/>
      </c>
      <c r="Q184" s="21" t="n"/>
      <c r="R184" s="21" t="n"/>
    </row>
    <row r="185">
      <c r="C185">
        <f>IFERROR(VLOOKUP(B185,Workers!$A:$H,2,FALSE),"")</f>
        <v/>
      </c>
      <c r="E185">
        <f>IFERROR(VLOOKUP(D185,Jobs!$A:$G,2,FALSE),"")</f>
        <v/>
      </c>
      <c r="F185" s="17" t="n"/>
      <c r="G185" s="18" t="n"/>
      <c r="H185" s="18" t="n"/>
      <c r="J185" s="19">
        <f>IF(OR(G185="",H185=""),"",MAX(0,(H185-G185)*24-(I185/60)))</f>
        <v/>
      </c>
      <c r="K185" s="20">
        <f>IFERROR(VLOOKUP(D185,Jobs!$A:$G,5,FALSE),"")</f>
        <v/>
      </c>
      <c r="L185" s="20">
        <f>IF(OR(J185="",K185=""),"",J185*K185)</f>
        <v/>
      </c>
      <c r="M185" s="20" t="n"/>
      <c r="N185" s="20" t="n"/>
      <c r="O185" s="20">
        <f>IF(L185="","",L185+M185-N185)</f>
        <v/>
      </c>
      <c r="Q185" s="21" t="n"/>
      <c r="R185" s="21" t="n"/>
    </row>
    <row r="186">
      <c r="C186">
        <f>IFERROR(VLOOKUP(B186,Workers!$A:$H,2,FALSE),"")</f>
        <v/>
      </c>
      <c r="E186">
        <f>IFERROR(VLOOKUP(D186,Jobs!$A:$G,2,FALSE),"")</f>
        <v/>
      </c>
      <c r="F186" s="17" t="n"/>
      <c r="G186" s="18" t="n"/>
      <c r="H186" s="18" t="n"/>
      <c r="J186" s="19">
        <f>IF(OR(G186="",H186=""),"",MAX(0,(H186-G186)*24-(I186/60)))</f>
        <v/>
      </c>
      <c r="K186" s="20">
        <f>IFERROR(VLOOKUP(D186,Jobs!$A:$G,5,FALSE),"")</f>
        <v/>
      </c>
      <c r="L186" s="20">
        <f>IF(OR(J186="",K186=""),"",J186*K186)</f>
        <v/>
      </c>
      <c r="M186" s="20" t="n"/>
      <c r="N186" s="20" t="n"/>
      <c r="O186" s="20">
        <f>IF(L186="","",L186+M186-N186)</f>
        <v/>
      </c>
      <c r="Q186" s="21" t="n"/>
      <c r="R186" s="21" t="n"/>
    </row>
    <row r="187">
      <c r="C187">
        <f>IFERROR(VLOOKUP(B187,Workers!$A:$H,2,FALSE),"")</f>
        <v/>
      </c>
      <c r="E187">
        <f>IFERROR(VLOOKUP(D187,Jobs!$A:$G,2,FALSE),"")</f>
        <v/>
      </c>
      <c r="F187" s="17" t="n"/>
      <c r="G187" s="18" t="n"/>
      <c r="H187" s="18" t="n"/>
      <c r="J187" s="19">
        <f>IF(OR(G187="",H187=""),"",MAX(0,(H187-G187)*24-(I187/60)))</f>
        <v/>
      </c>
      <c r="K187" s="20">
        <f>IFERROR(VLOOKUP(D187,Jobs!$A:$G,5,FALSE),"")</f>
        <v/>
      </c>
      <c r="L187" s="20">
        <f>IF(OR(J187="",K187=""),"",J187*K187)</f>
        <v/>
      </c>
      <c r="M187" s="20" t="n"/>
      <c r="N187" s="20" t="n"/>
      <c r="O187" s="20">
        <f>IF(L187="","",L187+M187-N187)</f>
        <v/>
      </c>
      <c r="Q187" s="21" t="n"/>
      <c r="R187" s="21" t="n"/>
    </row>
    <row r="188">
      <c r="C188">
        <f>IFERROR(VLOOKUP(B188,Workers!$A:$H,2,FALSE),"")</f>
        <v/>
      </c>
      <c r="E188">
        <f>IFERROR(VLOOKUP(D188,Jobs!$A:$G,2,FALSE),"")</f>
        <v/>
      </c>
      <c r="F188" s="17" t="n"/>
      <c r="G188" s="18" t="n"/>
      <c r="H188" s="18" t="n"/>
      <c r="J188" s="19">
        <f>IF(OR(G188="",H188=""),"",MAX(0,(H188-G188)*24-(I188/60)))</f>
        <v/>
      </c>
      <c r="K188" s="20">
        <f>IFERROR(VLOOKUP(D188,Jobs!$A:$G,5,FALSE),"")</f>
        <v/>
      </c>
      <c r="L188" s="20">
        <f>IF(OR(J188="",K188=""),"",J188*K188)</f>
        <v/>
      </c>
      <c r="M188" s="20" t="n"/>
      <c r="N188" s="20" t="n"/>
      <c r="O188" s="20">
        <f>IF(L188="","",L188+M188-N188)</f>
        <v/>
      </c>
      <c r="Q188" s="21" t="n"/>
      <c r="R188" s="21" t="n"/>
    </row>
    <row r="189">
      <c r="C189">
        <f>IFERROR(VLOOKUP(B189,Workers!$A:$H,2,FALSE),"")</f>
        <v/>
      </c>
      <c r="E189">
        <f>IFERROR(VLOOKUP(D189,Jobs!$A:$G,2,FALSE),"")</f>
        <v/>
      </c>
      <c r="F189" s="17" t="n"/>
      <c r="G189" s="18" t="n"/>
      <c r="H189" s="18" t="n"/>
      <c r="J189" s="19">
        <f>IF(OR(G189="",H189=""),"",MAX(0,(H189-G189)*24-(I189/60)))</f>
        <v/>
      </c>
      <c r="K189" s="20">
        <f>IFERROR(VLOOKUP(D189,Jobs!$A:$G,5,FALSE),"")</f>
        <v/>
      </c>
      <c r="L189" s="20">
        <f>IF(OR(J189="",K189=""),"",J189*K189)</f>
        <v/>
      </c>
      <c r="M189" s="20" t="n"/>
      <c r="N189" s="20" t="n"/>
      <c r="O189" s="20">
        <f>IF(L189="","",L189+M189-N189)</f>
        <v/>
      </c>
      <c r="Q189" s="21" t="n"/>
      <c r="R189" s="21" t="n"/>
    </row>
    <row r="190">
      <c r="C190">
        <f>IFERROR(VLOOKUP(B190,Workers!$A:$H,2,FALSE),"")</f>
        <v/>
      </c>
      <c r="E190">
        <f>IFERROR(VLOOKUP(D190,Jobs!$A:$G,2,FALSE),"")</f>
        <v/>
      </c>
      <c r="F190" s="17" t="n"/>
      <c r="G190" s="18" t="n"/>
      <c r="H190" s="18" t="n"/>
      <c r="J190" s="19">
        <f>IF(OR(G190="",H190=""),"",MAX(0,(H190-G190)*24-(I190/60)))</f>
        <v/>
      </c>
      <c r="K190" s="20">
        <f>IFERROR(VLOOKUP(D190,Jobs!$A:$G,5,FALSE),"")</f>
        <v/>
      </c>
      <c r="L190" s="20">
        <f>IF(OR(J190="",K190=""),"",J190*K190)</f>
        <v/>
      </c>
      <c r="M190" s="20" t="n"/>
      <c r="N190" s="20" t="n"/>
      <c r="O190" s="20">
        <f>IF(L190="","",L190+M190-N190)</f>
        <v/>
      </c>
      <c r="Q190" s="21" t="n"/>
      <c r="R190" s="21" t="n"/>
    </row>
    <row r="191">
      <c r="C191">
        <f>IFERROR(VLOOKUP(B191,Workers!$A:$H,2,FALSE),"")</f>
        <v/>
      </c>
      <c r="E191">
        <f>IFERROR(VLOOKUP(D191,Jobs!$A:$G,2,FALSE),"")</f>
        <v/>
      </c>
      <c r="F191" s="17" t="n"/>
      <c r="G191" s="18" t="n"/>
      <c r="H191" s="18" t="n"/>
      <c r="J191" s="19">
        <f>IF(OR(G191="",H191=""),"",MAX(0,(H191-G191)*24-(I191/60)))</f>
        <v/>
      </c>
      <c r="K191" s="20">
        <f>IFERROR(VLOOKUP(D191,Jobs!$A:$G,5,FALSE),"")</f>
        <v/>
      </c>
      <c r="L191" s="20">
        <f>IF(OR(J191="",K191=""),"",J191*K191)</f>
        <v/>
      </c>
      <c r="M191" s="20" t="n"/>
      <c r="N191" s="20" t="n"/>
      <c r="O191" s="20">
        <f>IF(L191="","",L191+M191-N191)</f>
        <v/>
      </c>
      <c r="Q191" s="21" t="n"/>
      <c r="R191" s="21" t="n"/>
    </row>
    <row r="192">
      <c r="C192">
        <f>IFERROR(VLOOKUP(B192,Workers!$A:$H,2,FALSE),"")</f>
        <v/>
      </c>
      <c r="E192">
        <f>IFERROR(VLOOKUP(D192,Jobs!$A:$G,2,FALSE),"")</f>
        <v/>
      </c>
      <c r="F192" s="17" t="n"/>
      <c r="G192" s="18" t="n"/>
      <c r="H192" s="18" t="n"/>
      <c r="J192" s="19">
        <f>IF(OR(G192="",H192=""),"",MAX(0,(H192-G192)*24-(I192/60)))</f>
        <v/>
      </c>
      <c r="K192" s="20">
        <f>IFERROR(VLOOKUP(D192,Jobs!$A:$G,5,FALSE),"")</f>
        <v/>
      </c>
      <c r="L192" s="20">
        <f>IF(OR(J192="",K192=""),"",J192*K192)</f>
        <v/>
      </c>
      <c r="M192" s="20" t="n"/>
      <c r="N192" s="20" t="n"/>
      <c r="O192" s="20">
        <f>IF(L192="","",L192+M192-N192)</f>
        <v/>
      </c>
      <c r="Q192" s="21" t="n"/>
      <c r="R192" s="21" t="n"/>
    </row>
    <row r="193">
      <c r="C193">
        <f>IFERROR(VLOOKUP(B193,Workers!$A:$H,2,FALSE),"")</f>
        <v/>
      </c>
      <c r="E193">
        <f>IFERROR(VLOOKUP(D193,Jobs!$A:$G,2,FALSE),"")</f>
        <v/>
      </c>
      <c r="F193" s="17" t="n"/>
      <c r="G193" s="18" t="n"/>
      <c r="H193" s="18" t="n"/>
      <c r="J193" s="19">
        <f>IF(OR(G193="",H193=""),"",MAX(0,(H193-G193)*24-(I193/60)))</f>
        <v/>
      </c>
      <c r="K193" s="20">
        <f>IFERROR(VLOOKUP(D193,Jobs!$A:$G,5,FALSE),"")</f>
        <v/>
      </c>
      <c r="L193" s="20">
        <f>IF(OR(J193="",K193=""),"",J193*K193)</f>
        <v/>
      </c>
      <c r="M193" s="20" t="n"/>
      <c r="N193" s="20" t="n"/>
      <c r="O193" s="20">
        <f>IF(L193="","",L193+M193-N193)</f>
        <v/>
      </c>
      <c r="Q193" s="21" t="n"/>
      <c r="R193" s="21" t="n"/>
    </row>
    <row r="194">
      <c r="C194">
        <f>IFERROR(VLOOKUP(B194,Workers!$A:$H,2,FALSE),"")</f>
        <v/>
      </c>
      <c r="E194">
        <f>IFERROR(VLOOKUP(D194,Jobs!$A:$G,2,FALSE),"")</f>
        <v/>
      </c>
      <c r="F194" s="17" t="n"/>
      <c r="G194" s="18" t="n"/>
      <c r="H194" s="18" t="n"/>
      <c r="J194" s="19">
        <f>IF(OR(G194="",H194=""),"",MAX(0,(H194-G194)*24-(I194/60)))</f>
        <v/>
      </c>
      <c r="K194" s="20">
        <f>IFERROR(VLOOKUP(D194,Jobs!$A:$G,5,FALSE),"")</f>
        <v/>
      </c>
      <c r="L194" s="20">
        <f>IF(OR(J194="",K194=""),"",J194*K194)</f>
        <v/>
      </c>
      <c r="M194" s="20" t="n"/>
      <c r="N194" s="20" t="n"/>
      <c r="O194" s="20">
        <f>IF(L194="","",L194+M194-N194)</f>
        <v/>
      </c>
      <c r="Q194" s="21" t="n"/>
      <c r="R194" s="21" t="n"/>
    </row>
    <row r="195">
      <c r="C195">
        <f>IFERROR(VLOOKUP(B195,Workers!$A:$H,2,FALSE),"")</f>
        <v/>
      </c>
      <c r="E195">
        <f>IFERROR(VLOOKUP(D195,Jobs!$A:$G,2,FALSE),"")</f>
        <v/>
      </c>
      <c r="F195" s="17" t="n"/>
      <c r="G195" s="18" t="n"/>
      <c r="H195" s="18" t="n"/>
      <c r="J195" s="19">
        <f>IF(OR(G195="",H195=""),"",MAX(0,(H195-G195)*24-(I195/60)))</f>
        <v/>
      </c>
      <c r="K195" s="20">
        <f>IFERROR(VLOOKUP(D195,Jobs!$A:$G,5,FALSE),"")</f>
        <v/>
      </c>
      <c r="L195" s="20">
        <f>IF(OR(J195="",K195=""),"",J195*K195)</f>
        <v/>
      </c>
      <c r="M195" s="20" t="n"/>
      <c r="N195" s="20" t="n"/>
      <c r="O195" s="20">
        <f>IF(L195="","",L195+M195-N195)</f>
        <v/>
      </c>
      <c r="Q195" s="21" t="n"/>
      <c r="R195" s="21" t="n"/>
    </row>
    <row r="196">
      <c r="C196">
        <f>IFERROR(VLOOKUP(B196,Workers!$A:$H,2,FALSE),"")</f>
        <v/>
      </c>
      <c r="E196">
        <f>IFERROR(VLOOKUP(D196,Jobs!$A:$G,2,FALSE),"")</f>
        <v/>
      </c>
      <c r="F196" s="17" t="n"/>
      <c r="G196" s="18" t="n"/>
      <c r="H196" s="18" t="n"/>
      <c r="J196" s="19">
        <f>IF(OR(G196="",H196=""),"",MAX(0,(H196-G196)*24-(I196/60)))</f>
        <v/>
      </c>
      <c r="K196" s="20">
        <f>IFERROR(VLOOKUP(D196,Jobs!$A:$G,5,FALSE),"")</f>
        <v/>
      </c>
      <c r="L196" s="20">
        <f>IF(OR(J196="",K196=""),"",J196*K196)</f>
        <v/>
      </c>
      <c r="M196" s="20" t="n"/>
      <c r="N196" s="20" t="n"/>
      <c r="O196" s="20">
        <f>IF(L196="","",L196+M196-N196)</f>
        <v/>
      </c>
      <c r="Q196" s="21" t="n"/>
      <c r="R196" s="21" t="n"/>
    </row>
    <row r="197">
      <c r="C197">
        <f>IFERROR(VLOOKUP(B197,Workers!$A:$H,2,FALSE),"")</f>
        <v/>
      </c>
      <c r="E197">
        <f>IFERROR(VLOOKUP(D197,Jobs!$A:$G,2,FALSE),"")</f>
        <v/>
      </c>
      <c r="F197" s="17" t="n"/>
      <c r="G197" s="18" t="n"/>
      <c r="H197" s="18" t="n"/>
      <c r="J197" s="19">
        <f>IF(OR(G197="",H197=""),"",MAX(0,(H197-G197)*24-(I197/60)))</f>
        <v/>
      </c>
      <c r="K197" s="20">
        <f>IFERROR(VLOOKUP(D197,Jobs!$A:$G,5,FALSE),"")</f>
        <v/>
      </c>
      <c r="L197" s="20">
        <f>IF(OR(J197="",K197=""),"",J197*K197)</f>
        <v/>
      </c>
      <c r="M197" s="20" t="n"/>
      <c r="N197" s="20" t="n"/>
      <c r="O197" s="20">
        <f>IF(L197="","",L197+M197-N197)</f>
        <v/>
      </c>
      <c r="Q197" s="21" t="n"/>
      <c r="R197" s="21" t="n"/>
    </row>
    <row r="198">
      <c r="C198">
        <f>IFERROR(VLOOKUP(B198,Workers!$A:$H,2,FALSE),"")</f>
        <v/>
      </c>
      <c r="E198">
        <f>IFERROR(VLOOKUP(D198,Jobs!$A:$G,2,FALSE),"")</f>
        <v/>
      </c>
      <c r="F198" s="17" t="n"/>
      <c r="G198" s="18" t="n"/>
      <c r="H198" s="18" t="n"/>
      <c r="J198" s="19">
        <f>IF(OR(G198="",H198=""),"",MAX(0,(H198-G198)*24-(I198/60)))</f>
        <v/>
      </c>
      <c r="K198" s="20">
        <f>IFERROR(VLOOKUP(D198,Jobs!$A:$G,5,FALSE),"")</f>
        <v/>
      </c>
      <c r="L198" s="20">
        <f>IF(OR(J198="",K198=""),"",J198*K198)</f>
        <v/>
      </c>
      <c r="M198" s="20" t="n"/>
      <c r="N198" s="20" t="n"/>
      <c r="O198" s="20">
        <f>IF(L198="","",L198+M198-N198)</f>
        <v/>
      </c>
      <c r="Q198" s="21" t="n"/>
      <c r="R198" s="21" t="n"/>
    </row>
    <row r="199">
      <c r="C199">
        <f>IFERROR(VLOOKUP(B199,Workers!$A:$H,2,FALSE),"")</f>
        <v/>
      </c>
      <c r="E199">
        <f>IFERROR(VLOOKUP(D199,Jobs!$A:$G,2,FALSE),"")</f>
        <v/>
      </c>
      <c r="F199" s="17" t="n"/>
      <c r="G199" s="18" t="n"/>
      <c r="H199" s="18" t="n"/>
      <c r="J199" s="19">
        <f>IF(OR(G199="",H199=""),"",MAX(0,(H199-G199)*24-(I199/60)))</f>
        <v/>
      </c>
      <c r="K199" s="20">
        <f>IFERROR(VLOOKUP(D199,Jobs!$A:$G,5,FALSE),"")</f>
        <v/>
      </c>
      <c r="L199" s="20">
        <f>IF(OR(J199="",K199=""),"",J199*K199)</f>
        <v/>
      </c>
      <c r="M199" s="20" t="n"/>
      <c r="N199" s="20" t="n"/>
      <c r="O199" s="20">
        <f>IF(L199="","",L199+M199-N199)</f>
        <v/>
      </c>
      <c r="Q199" s="21" t="n"/>
      <c r="R199" s="21" t="n"/>
    </row>
    <row r="200">
      <c r="C200">
        <f>IFERROR(VLOOKUP(B200,Workers!$A:$H,2,FALSE),"")</f>
        <v/>
      </c>
      <c r="E200">
        <f>IFERROR(VLOOKUP(D200,Jobs!$A:$G,2,FALSE),"")</f>
        <v/>
      </c>
      <c r="F200" s="17" t="n"/>
      <c r="G200" s="18" t="n"/>
      <c r="H200" s="18" t="n"/>
      <c r="J200" s="19">
        <f>IF(OR(G200="",H200=""),"",MAX(0,(H200-G200)*24-(I200/60)))</f>
        <v/>
      </c>
      <c r="K200" s="20">
        <f>IFERROR(VLOOKUP(D200,Jobs!$A:$G,5,FALSE),"")</f>
        <v/>
      </c>
      <c r="L200" s="20">
        <f>IF(OR(J200="",K200=""),"",J200*K200)</f>
        <v/>
      </c>
      <c r="M200" s="20" t="n"/>
      <c r="N200" s="20" t="n"/>
      <c r="O200" s="20">
        <f>IF(L200="","",L200+M200-N200)</f>
        <v/>
      </c>
      <c r="Q200" s="21" t="n"/>
      <c r="R200" s="21" t="n"/>
    </row>
  </sheetData>
  <conditionalFormatting sqref="A2:T200">
    <cfRule type="expression" priority="1" dxfId="0">
      <formula>$P2="Submitted"</formula>
    </cfRule>
    <cfRule type="expression" priority="2" dxfId="1">
      <formula>$S2&lt;&gt;""</formula>
    </cfRule>
    <cfRule type="expression" priority="3" dxfId="2">
      <formula>IFERROR(VLOOKUP($B2,Workers!$A:$E,5,FALSE)="Inactive",FALSE)</formula>
    </cfRule>
  </conditionalFormatting>
  <dataValidations count="3">
    <dataValidation sqref="P2:P200" showDropDown="0" showInputMessage="0" showErrorMessage="0" allowBlank="1" errorTitle="Invalid value" error="Choose a value from Dropdown Lists." type="list">
      <formula1>'Dropdown Lists'!$C$2:$C$7</formula1>
    </dataValidation>
    <dataValidation sqref="B2:B200" showDropDown="0" showInputMessage="0" showErrorMessage="0" allowBlank="1" errorTitle="Invalid value" error="Choose a value from the approved workbook range." type="list">
      <formula1>Workers!$A$2:$A$200</formula1>
    </dataValidation>
    <dataValidation sqref="D2:D200" showDropDown="0" showInputMessage="0" showErrorMessage="0" allowBlank="1" errorTitle="Invalid value" error="Choose a value from the approved workbook range." type="list">
      <formula1>Jobs!$A$2:$A$200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20" customWidth="1" min="3" max="3"/>
    <col width="14" customWidth="1" min="4" max="4"/>
    <col width="14" customWidth="1" min="5" max="5"/>
    <col width="14" customWidth="1" min="6" max="6"/>
    <col width="14" customWidth="1" min="7" max="7"/>
    <col width="13" customWidth="1" min="8" max="8"/>
    <col width="14" customWidth="1" min="9" max="9"/>
    <col width="20" customWidth="1" min="10" max="10"/>
    <col width="18" customWidth="1" min="11" max="11"/>
    <col width="14" customWidth="1" min="12" max="12"/>
    <col width="18" customWidth="1" min="13" max="13"/>
    <col width="18" customWidth="1" min="14" max="14"/>
    <col width="42" customWidth="1" min="15" max="15"/>
  </cols>
  <sheetData>
    <row r="1">
      <c r="A1" s="10" t="inlineStr">
        <is>
          <t>Pay Period ID</t>
        </is>
      </c>
      <c r="B1" s="10" t="inlineStr">
        <is>
          <t>Worker ID</t>
        </is>
      </c>
      <c r="C1" s="10" t="inlineStr">
        <is>
          <t>Worker Name</t>
        </is>
      </c>
      <c r="D1" s="10" t="inlineStr">
        <is>
          <t>Period Start</t>
        </is>
      </c>
      <c r="E1" s="10" t="inlineStr">
        <is>
          <t>Period End</t>
        </is>
      </c>
      <c r="F1" s="10" t="inlineStr">
        <is>
          <t>Status</t>
        </is>
      </c>
      <c r="G1" s="10" t="inlineStr">
        <is>
          <t>Payment Status</t>
        </is>
      </c>
      <c r="H1" s="10" t="inlineStr">
        <is>
          <t>Total Hours</t>
        </is>
      </c>
      <c r="I1" s="10" t="inlineStr">
        <is>
          <t>Gross Pay</t>
        </is>
      </c>
      <c r="J1" s="10" t="inlineStr">
        <is>
          <t>Reimbursement Total</t>
        </is>
      </c>
      <c r="K1" s="10" t="inlineStr">
        <is>
          <t>Deduction Total</t>
        </is>
      </c>
      <c r="L1" s="10" t="inlineStr">
        <is>
          <t>Net Pay</t>
        </is>
      </c>
      <c r="M1" s="10" t="inlineStr">
        <is>
          <t>Finalized At</t>
        </is>
      </c>
      <c r="N1" s="10" t="inlineStr">
        <is>
          <t>Paid At</t>
        </is>
      </c>
      <c r="O1" s="10" t="inlineStr">
        <is>
          <t>Notes</t>
        </is>
      </c>
    </row>
    <row r="2">
      <c r="A2" s="11" t="inlineStr">
        <is>
          <t>P-4001</t>
        </is>
      </c>
      <c r="B2" s="11" t="inlineStr">
        <is>
          <t>W-1001</t>
        </is>
      </c>
      <c r="C2" s="11">
        <f>IFERROR(VLOOKUP(B2,Workers!$A:$H,2,FALSE),"")</f>
        <v/>
      </c>
      <c r="D2" s="12" t="n">
        <v>46174</v>
      </c>
      <c r="E2" s="12" t="n">
        <v>46180</v>
      </c>
      <c r="F2" s="11" t="inlineStr">
        <is>
          <t>Paid</t>
        </is>
      </c>
      <c r="G2" s="11" t="inlineStr">
        <is>
          <t>Paid</t>
        </is>
      </c>
      <c r="H2" s="15">
        <f>SUMIFS('Time Entries'!$J:$J,'Time Entries'!$B:$B,$B2,'Time Entries'!$F:$F,"&gt;="&amp;$D2,'Time Entries'!$F:$F,"&lt;="&amp;$E2,'Time Entries'!$P:$P,"&lt;&gt;Draft",'Time Entries'!$P:$P,"&lt;&gt;Rejected")</f>
        <v/>
      </c>
      <c r="I2" s="13">
        <f>SUMIFS('Time Entries'!$L:$L,'Time Entries'!$B:$B,$B2,'Time Entries'!$F:$F,"&gt;="&amp;$D2,'Time Entries'!$F:$F,"&lt;="&amp;$E2,'Time Entries'!$P:$P,"&lt;&gt;Draft",'Time Entries'!$P:$P,"&lt;&gt;Rejected")</f>
        <v/>
      </c>
      <c r="J2" s="13">
        <f>SUMIFS('Time Entries'!$M:$M,'Time Entries'!$B:$B,$B2,'Time Entries'!$F:$F,"&gt;="&amp;$D2,'Time Entries'!$F:$F,"&lt;="&amp;$E2,'Time Entries'!$P:$P,"&lt;&gt;Draft",'Time Entries'!$P:$P,"&lt;&gt;Rejected")</f>
        <v/>
      </c>
      <c r="K2" s="13">
        <f>SUMIFS('Time Entries'!$N:$N,'Time Entries'!$B:$B,$B2,'Time Entries'!$F:$F,"&gt;="&amp;$D2,'Time Entries'!$F:$F,"&lt;="&amp;$E2,'Time Entries'!$P:$P,"&lt;&gt;Draft",'Time Entries'!$P:$P,"&lt;&gt;Rejected")</f>
        <v/>
      </c>
      <c r="L2" s="13">
        <f>I2+J2-K2</f>
        <v/>
      </c>
      <c r="M2" s="16" t="n">
        <v>46180.41666666666</v>
      </c>
      <c r="N2" s="16" t="n">
        <v>46181.5</v>
      </c>
      <c r="O2" s="11" t="inlineStr">
        <is>
          <t>Paid worker proof can be regenerated.</t>
        </is>
      </c>
    </row>
    <row r="3">
      <c r="A3" s="11" t="inlineStr">
        <is>
          <t>P-4002</t>
        </is>
      </c>
      <c r="B3" s="11" t="inlineStr">
        <is>
          <t>W-1002</t>
        </is>
      </c>
      <c r="C3" s="11">
        <f>IFERROR(VLOOKUP(B3,Workers!$A:$H,2,FALSE),"")</f>
        <v/>
      </c>
      <c r="D3" s="12" t="n">
        <v>46174</v>
      </c>
      <c r="E3" s="12" t="n">
        <v>46180</v>
      </c>
      <c r="F3" s="11" t="inlineStr">
        <is>
          <t>Open</t>
        </is>
      </c>
      <c r="G3" s="11" t="inlineStr">
        <is>
          <t>Unpaid</t>
        </is>
      </c>
      <c r="H3" s="15">
        <f>SUMIFS('Time Entries'!$J:$J,'Time Entries'!$B:$B,$B3,'Time Entries'!$F:$F,"&gt;="&amp;$D3,'Time Entries'!$F:$F,"&lt;="&amp;$E3,'Time Entries'!$P:$P,"&lt;&gt;Draft",'Time Entries'!$P:$P,"&lt;&gt;Rejected")</f>
        <v/>
      </c>
      <c r="I3" s="13">
        <f>SUMIFS('Time Entries'!$L:$L,'Time Entries'!$B:$B,$B3,'Time Entries'!$F:$F,"&gt;="&amp;$D3,'Time Entries'!$F:$F,"&lt;="&amp;$E3,'Time Entries'!$P:$P,"&lt;&gt;Draft",'Time Entries'!$P:$P,"&lt;&gt;Rejected")</f>
        <v/>
      </c>
      <c r="J3" s="13">
        <f>SUMIFS('Time Entries'!$M:$M,'Time Entries'!$B:$B,$B3,'Time Entries'!$F:$F,"&gt;="&amp;$D3,'Time Entries'!$F:$F,"&lt;="&amp;$E3,'Time Entries'!$P:$P,"&lt;&gt;Draft",'Time Entries'!$P:$P,"&lt;&gt;Rejected")</f>
        <v/>
      </c>
      <c r="K3" s="13">
        <f>SUMIFS('Time Entries'!$N:$N,'Time Entries'!$B:$B,$B3,'Time Entries'!$F:$F,"&gt;="&amp;$D3,'Time Entries'!$F:$F,"&lt;="&amp;$E3,'Time Entries'!$P:$P,"&lt;&gt;Draft",'Time Entries'!$P:$P,"&lt;&gt;Rejected")</f>
        <v/>
      </c>
      <c r="L3" s="13">
        <f>I3+J3-K3</f>
        <v/>
      </c>
      <c r="M3" s="16" t="n"/>
      <c r="N3" s="16" t="n"/>
      <c r="O3" s="11" t="inlineStr">
        <is>
          <t>Open period with submitted entry.</t>
        </is>
      </c>
    </row>
    <row r="4">
      <c r="A4" s="11" t="inlineStr">
        <is>
          <t>P-4003</t>
        </is>
      </c>
      <c r="B4" s="11" t="inlineStr">
        <is>
          <t>W-1003</t>
        </is>
      </c>
      <c r="C4" s="11">
        <f>IFERROR(VLOOKUP(B4,Workers!$A:$H,2,FALSE),"")</f>
        <v/>
      </c>
      <c r="D4" s="12" t="n">
        <v>46174</v>
      </c>
      <c r="E4" s="12" t="n">
        <v>46180</v>
      </c>
      <c r="F4" s="11" t="inlineStr">
        <is>
          <t>Finalized</t>
        </is>
      </c>
      <c r="G4" s="11" t="inlineStr">
        <is>
          <t>Unpaid</t>
        </is>
      </c>
      <c r="H4" s="15">
        <f>SUMIFS('Time Entries'!$J:$J,'Time Entries'!$B:$B,$B4,'Time Entries'!$F:$F,"&gt;="&amp;$D4,'Time Entries'!$F:$F,"&lt;="&amp;$E4,'Time Entries'!$P:$P,"&lt;&gt;Draft",'Time Entries'!$P:$P,"&lt;&gt;Rejected")</f>
        <v/>
      </c>
      <c r="I4" s="13">
        <f>SUMIFS('Time Entries'!$L:$L,'Time Entries'!$B:$B,$B4,'Time Entries'!$F:$F,"&gt;="&amp;$D4,'Time Entries'!$F:$F,"&lt;="&amp;$E4,'Time Entries'!$P:$P,"&lt;&gt;Draft",'Time Entries'!$P:$P,"&lt;&gt;Rejected")</f>
        <v/>
      </c>
      <c r="J4" s="13">
        <f>SUMIFS('Time Entries'!$M:$M,'Time Entries'!$B:$B,$B4,'Time Entries'!$F:$F,"&gt;="&amp;$D4,'Time Entries'!$F:$F,"&lt;="&amp;$E4,'Time Entries'!$P:$P,"&lt;&gt;Draft",'Time Entries'!$P:$P,"&lt;&gt;Rejected")</f>
        <v/>
      </c>
      <c r="K4" s="13">
        <f>SUMIFS('Time Entries'!$N:$N,'Time Entries'!$B:$B,$B4,'Time Entries'!$F:$F,"&gt;="&amp;$D4,'Time Entries'!$F:$F,"&lt;="&amp;$E4,'Time Entries'!$P:$P,"&lt;&gt;Draft",'Time Entries'!$P:$P,"&lt;&gt;Rejected")</f>
        <v/>
      </c>
      <c r="L4" s="13">
        <f>I4+J4-K4</f>
        <v/>
      </c>
      <c r="M4" s="16" t="n">
        <v>46181.375</v>
      </c>
      <c r="N4" s="16" t="n"/>
      <c r="O4" s="11" t="inlineStr">
        <is>
          <t>Inactive worker history remains visible and provable.</t>
        </is>
      </c>
    </row>
    <row r="5">
      <c r="C5">
        <f>IFERROR(VLOOKUP(B5,Workers!$A:$H,2,FALSE),"")</f>
        <v/>
      </c>
      <c r="D5" s="17" t="n"/>
      <c r="E5" s="17" t="n"/>
      <c r="H5" s="19">
        <f>SUMIFS('Time Entries'!$J:$J,'Time Entries'!$B:$B,$B5,'Time Entries'!$F:$F,"&gt;="&amp;$D5,'Time Entries'!$F:$F,"&lt;="&amp;$E5,'Time Entries'!$P:$P,"&lt;&gt;Draft",'Time Entries'!$P:$P,"&lt;&gt;Rejected")</f>
        <v/>
      </c>
      <c r="I5" s="20">
        <f>SUMIFS('Time Entries'!$L:$L,'Time Entries'!$B:$B,$B5,'Time Entries'!$F:$F,"&gt;="&amp;$D5,'Time Entries'!$F:$F,"&lt;="&amp;$E5,'Time Entries'!$P:$P,"&lt;&gt;Draft",'Time Entries'!$P:$P,"&lt;&gt;Rejected")</f>
        <v/>
      </c>
      <c r="J5" s="20">
        <f>SUMIFS('Time Entries'!$M:$M,'Time Entries'!$B:$B,$B5,'Time Entries'!$F:$F,"&gt;="&amp;$D5,'Time Entries'!$F:$F,"&lt;="&amp;$E5,'Time Entries'!$P:$P,"&lt;&gt;Draft",'Time Entries'!$P:$P,"&lt;&gt;Rejected")</f>
        <v/>
      </c>
      <c r="K5" s="20">
        <f>SUMIFS('Time Entries'!$N:$N,'Time Entries'!$B:$B,$B5,'Time Entries'!$F:$F,"&gt;="&amp;$D5,'Time Entries'!$F:$F,"&lt;="&amp;$E5,'Time Entries'!$P:$P,"&lt;&gt;Draft",'Time Entries'!$P:$P,"&lt;&gt;Rejected")</f>
        <v/>
      </c>
      <c r="L5" s="20">
        <f>I5+J5-K5</f>
        <v/>
      </c>
      <c r="M5" s="21" t="n"/>
      <c r="N5" s="21" t="n"/>
    </row>
    <row r="6">
      <c r="C6">
        <f>IFERROR(VLOOKUP(B6,Workers!$A:$H,2,FALSE),"")</f>
        <v/>
      </c>
      <c r="D6" s="17" t="n"/>
      <c r="E6" s="17" t="n"/>
      <c r="H6" s="19">
        <f>SUMIFS('Time Entries'!$J:$J,'Time Entries'!$B:$B,$B6,'Time Entries'!$F:$F,"&gt;="&amp;$D6,'Time Entries'!$F:$F,"&lt;="&amp;$E6,'Time Entries'!$P:$P,"&lt;&gt;Draft",'Time Entries'!$P:$P,"&lt;&gt;Rejected")</f>
        <v/>
      </c>
      <c r="I6" s="20">
        <f>SUMIFS('Time Entries'!$L:$L,'Time Entries'!$B:$B,$B6,'Time Entries'!$F:$F,"&gt;="&amp;$D6,'Time Entries'!$F:$F,"&lt;="&amp;$E6,'Time Entries'!$P:$P,"&lt;&gt;Draft",'Time Entries'!$P:$P,"&lt;&gt;Rejected")</f>
        <v/>
      </c>
      <c r="J6" s="20">
        <f>SUMIFS('Time Entries'!$M:$M,'Time Entries'!$B:$B,$B6,'Time Entries'!$F:$F,"&gt;="&amp;$D6,'Time Entries'!$F:$F,"&lt;="&amp;$E6,'Time Entries'!$P:$P,"&lt;&gt;Draft",'Time Entries'!$P:$P,"&lt;&gt;Rejected")</f>
        <v/>
      </c>
      <c r="K6" s="20">
        <f>SUMIFS('Time Entries'!$N:$N,'Time Entries'!$B:$B,$B6,'Time Entries'!$F:$F,"&gt;="&amp;$D6,'Time Entries'!$F:$F,"&lt;="&amp;$E6,'Time Entries'!$P:$P,"&lt;&gt;Draft",'Time Entries'!$P:$P,"&lt;&gt;Rejected")</f>
        <v/>
      </c>
      <c r="L6" s="20">
        <f>I6+J6-K6</f>
        <v/>
      </c>
      <c r="M6" s="21" t="n"/>
      <c r="N6" s="21" t="n"/>
    </row>
    <row r="7">
      <c r="C7">
        <f>IFERROR(VLOOKUP(B7,Workers!$A:$H,2,FALSE),"")</f>
        <v/>
      </c>
      <c r="D7" s="17" t="n"/>
      <c r="E7" s="17" t="n"/>
      <c r="H7" s="19">
        <f>SUMIFS('Time Entries'!$J:$J,'Time Entries'!$B:$B,$B7,'Time Entries'!$F:$F,"&gt;="&amp;$D7,'Time Entries'!$F:$F,"&lt;="&amp;$E7,'Time Entries'!$P:$P,"&lt;&gt;Draft",'Time Entries'!$P:$P,"&lt;&gt;Rejected")</f>
        <v/>
      </c>
      <c r="I7" s="20">
        <f>SUMIFS('Time Entries'!$L:$L,'Time Entries'!$B:$B,$B7,'Time Entries'!$F:$F,"&gt;="&amp;$D7,'Time Entries'!$F:$F,"&lt;="&amp;$E7,'Time Entries'!$P:$P,"&lt;&gt;Draft",'Time Entries'!$P:$P,"&lt;&gt;Rejected")</f>
        <v/>
      </c>
      <c r="J7" s="20">
        <f>SUMIFS('Time Entries'!$M:$M,'Time Entries'!$B:$B,$B7,'Time Entries'!$F:$F,"&gt;="&amp;$D7,'Time Entries'!$F:$F,"&lt;="&amp;$E7,'Time Entries'!$P:$P,"&lt;&gt;Draft",'Time Entries'!$P:$P,"&lt;&gt;Rejected")</f>
        <v/>
      </c>
      <c r="K7" s="20">
        <f>SUMIFS('Time Entries'!$N:$N,'Time Entries'!$B:$B,$B7,'Time Entries'!$F:$F,"&gt;="&amp;$D7,'Time Entries'!$F:$F,"&lt;="&amp;$E7,'Time Entries'!$P:$P,"&lt;&gt;Draft",'Time Entries'!$P:$P,"&lt;&gt;Rejected")</f>
        <v/>
      </c>
      <c r="L7" s="20">
        <f>I7+J7-K7</f>
        <v/>
      </c>
      <c r="M7" s="21" t="n"/>
      <c r="N7" s="21" t="n"/>
    </row>
    <row r="8">
      <c r="C8">
        <f>IFERROR(VLOOKUP(B8,Workers!$A:$H,2,FALSE),"")</f>
        <v/>
      </c>
      <c r="D8" s="17" t="n"/>
      <c r="E8" s="17" t="n"/>
      <c r="H8" s="19">
        <f>SUMIFS('Time Entries'!$J:$J,'Time Entries'!$B:$B,$B8,'Time Entries'!$F:$F,"&gt;="&amp;$D8,'Time Entries'!$F:$F,"&lt;="&amp;$E8,'Time Entries'!$P:$P,"&lt;&gt;Draft",'Time Entries'!$P:$P,"&lt;&gt;Rejected")</f>
        <v/>
      </c>
      <c r="I8" s="20">
        <f>SUMIFS('Time Entries'!$L:$L,'Time Entries'!$B:$B,$B8,'Time Entries'!$F:$F,"&gt;="&amp;$D8,'Time Entries'!$F:$F,"&lt;="&amp;$E8,'Time Entries'!$P:$P,"&lt;&gt;Draft",'Time Entries'!$P:$P,"&lt;&gt;Rejected")</f>
        <v/>
      </c>
      <c r="J8" s="20">
        <f>SUMIFS('Time Entries'!$M:$M,'Time Entries'!$B:$B,$B8,'Time Entries'!$F:$F,"&gt;="&amp;$D8,'Time Entries'!$F:$F,"&lt;="&amp;$E8,'Time Entries'!$P:$P,"&lt;&gt;Draft",'Time Entries'!$P:$P,"&lt;&gt;Rejected")</f>
        <v/>
      </c>
      <c r="K8" s="20">
        <f>SUMIFS('Time Entries'!$N:$N,'Time Entries'!$B:$B,$B8,'Time Entries'!$F:$F,"&gt;="&amp;$D8,'Time Entries'!$F:$F,"&lt;="&amp;$E8,'Time Entries'!$P:$P,"&lt;&gt;Draft",'Time Entries'!$P:$P,"&lt;&gt;Rejected")</f>
        <v/>
      </c>
      <c r="L8" s="20">
        <f>I8+J8-K8</f>
        <v/>
      </c>
      <c r="M8" s="21" t="n"/>
      <c r="N8" s="21" t="n"/>
    </row>
    <row r="9">
      <c r="C9">
        <f>IFERROR(VLOOKUP(B9,Workers!$A:$H,2,FALSE),"")</f>
        <v/>
      </c>
      <c r="D9" s="17" t="n"/>
      <c r="E9" s="17" t="n"/>
      <c r="H9" s="19">
        <f>SUMIFS('Time Entries'!$J:$J,'Time Entries'!$B:$B,$B9,'Time Entries'!$F:$F,"&gt;="&amp;$D9,'Time Entries'!$F:$F,"&lt;="&amp;$E9,'Time Entries'!$P:$P,"&lt;&gt;Draft",'Time Entries'!$P:$P,"&lt;&gt;Rejected")</f>
        <v/>
      </c>
      <c r="I9" s="20">
        <f>SUMIFS('Time Entries'!$L:$L,'Time Entries'!$B:$B,$B9,'Time Entries'!$F:$F,"&gt;="&amp;$D9,'Time Entries'!$F:$F,"&lt;="&amp;$E9,'Time Entries'!$P:$P,"&lt;&gt;Draft",'Time Entries'!$P:$P,"&lt;&gt;Rejected")</f>
        <v/>
      </c>
      <c r="J9" s="20">
        <f>SUMIFS('Time Entries'!$M:$M,'Time Entries'!$B:$B,$B9,'Time Entries'!$F:$F,"&gt;="&amp;$D9,'Time Entries'!$F:$F,"&lt;="&amp;$E9,'Time Entries'!$P:$P,"&lt;&gt;Draft",'Time Entries'!$P:$P,"&lt;&gt;Rejected")</f>
        <v/>
      </c>
      <c r="K9" s="20">
        <f>SUMIFS('Time Entries'!$N:$N,'Time Entries'!$B:$B,$B9,'Time Entries'!$F:$F,"&gt;="&amp;$D9,'Time Entries'!$F:$F,"&lt;="&amp;$E9,'Time Entries'!$P:$P,"&lt;&gt;Draft",'Time Entries'!$P:$P,"&lt;&gt;Rejected")</f>
        <v/>
      </c>
      <c r="L9" s="20">
        <f>I9+J9-K9</f>
        <v/>
      </c>
      <c r="M9" s="21" t="n"/>
      <c r="N9" s="21" t="n"/>
    </row>
    <row r="10">
      <c r="C10">
        <f>IFERROR(VLOOKUP(B10,Workers!$A:$H,2,FALSE),"")</f>
        <v/>
      </c>
      <c r="D10" s="17" t="n"/>
      <c r="E10" s="17" t="n"/>
      <c r="H10" s="19">
        <f>SUMIFS('Time Entries'!$J:$J,'Time Entries'!$B:$B,$B10,'Time Entries'!$F:$F,"&gt;="&amp;$D10,'Time Entries'!$F:$F,"&lt;="&amp;$E10,'Time Entries'!$P:$P,"&lt;&gt;Draft",'Time Entries'!$P:$P,"&lt;&gt;Rejected")</f>
        <v/>
      </c>
      <c r="I10" s="20">
        <f>SUMIFS('Time Entries'!$L:$L,'Time Entries'!$B:$B,$B10,'Time Entries'!$F:$F,"&gt;="&amp;$D10,'Time Entries'!$F:$F,"&lt;="&amp;$E10,'Time Entries'!$P:$P,"&lt;&gt;Draft",'Time Entries'!$P:$P,"&lt;&gt;Rejected")</f>
        <v/>
      </c>
      <c r="J10" s="20">
        <f>SUMIFS('Time Entries'!$M:$M,'Time Entries'!$B:$B,$B10,'Time Entries'!$F:$F,"&gt;="&amp;$D10,'Time Entries'!$F:$F,"&lt;="&amp;$E10,'Time Entries'!$P:$P,"&lt;&gt;Draft",'Time Entries'!$P:$P,"&lt;&gt;Rejected")</f>
        <v/>
      </c>
      <c r="K10" s="20">
        <f>SUMIFS('Time Entries'!$N:$N,'Time Entries'!$B:$B,$B10,'Time Entries'!$F:$F,"&gt;="&amp;$D10,'Time Entries'!$F:$F,"&lt;="&amp;$E10,'Time Entries'!$P:$P,"&lt;&gt;Draft",'Time Entries'!$P:$P,"&lt;&gt;Rejected")</f>
        <v/>
      </c>
      <c r="L10" s="20">
        <f>I10+J10-K10</f>
        <v/>
      </c>
      <c r="M10" s="21" t="n"/>
      <c r="N10" s="21" t="n"/>
    </row>
    <row r="11">
      <c r="C11">
        <f>IFERROR(VLOOKUP(B11,Workers!$A:$H,2,FALSE),"")</f>
        <v/>
      </c>
      <c r="D11" s="17" t="n"/>
      <c r="E11" s="17" t="n"/>
      <c r="H11" s="19">
        <f>SUMIFS('Time Entries'!$J:$J,'Time Entries'!$B:$B,$B11,'Time Entries'!$F:$F,"&gt;="&amp;$D11,'Time Entries'!$F:$F,"&lt;="&amp;$E11,'Time Entries'!$P:$P,"&lt;&gt;Draft",'Time Entries'!$P:$P,"&lt;&gt;Rejected")</f>
        <v/>
      </c>
      <c r="I11" s="20">
        <f>SUMIFS('Time Entries'!$L:$L,'Time Entries'!$B:$B,$B11,'Time Entries'!$F:$F,"&gt;="&amp;$D11,'Time Entries'!$F:$F,"&lt;="&amp;$E11,'Time Entries'!$P:$P,"&lt;&gt;Draft",'Time Entries'!$P:$P,"&lt;&gt;Rejected")</f>
        <v/>
      </c>
      <c r="J11" s="20">
        <f>SUMIFS('Time Entries'!$M:$M,'Time Entries'!$B:$B,$B11,'Time Entries'!$F:$F,"&gt;="&amp;$D11,'Time Entries'!$F:$F,"&lt;="&amp;$E11,'Time Entries'!$P:$P,"&lt;&gt;Draft",'Time Entries'!$P:$P,"&lt;&gt;Rejected")</f>
        <v/>
      </c>
      <c r="K11" s="20">
        <f>SUMIFS('Time Entries'!$N:$N,'Time Entries'!$B:$B,$B11,'Time Entries'!$F:$F,"&gt;="&amp;$D11,'Time Entries'!$F:$F,"&lt;="&amp;$E11,'Time Entries'!$P:$P,"&lt;&gt;Draft",'Time Entries'!$P:$P,"&lt;&gt;Rejected")</f>
        <v/>
      </c>
      <c r="L11" s="20">
        <f>I11+J11-K11</f>
        <v/>
      </c>
      <c r="M11" s="21" t="n"/>
      <c r="N11" s="21" t="n"/>
    </row>
    <row r="12">
      <c r="C12">
        <f>IFERROR(VLOOKUP(B12,Workers!$A:$H,2,FALSE),"")</f>
        <v/>
      </c>
      <c r="D12" s="17" t="n"/>
      <c r="E12" s="17" t="n"/>
      <c r="H12" s="19">
        <f>SUMIFS('Time Entries'!$J:$J,'Time Entries'!$B:$B,$B12,'Time Entries'!$F:$F,"&gt;="&amp;$D12,'Time Entries'!$F:$F,"&lt;="&amp;$E12,'Time Entries'!$P:$P,"&lt;&gt;Draft",'Time Entries'!$P:$P,"&lt;&gt;Rejected")</f>
        <v/>
      </c>
      <c r="I12" s="20">
        <f>SUMIFS('Time Entries'!$L:$L,'Time Entries'!$B:$B,$B12,'Time Entries'!$F:$F,"&gt;="&amp;$D12,'Time Entries'!$F:$F,"&lt;="&amp;$E12,'Time Entries'!$P:$P,"&lt;&gt;Draft",'Time Entries'!$P:$P,"&lt;&gt;Rejected")</f>
        <v/>
      </c>
      <c r="J12" s="20">
        <f>SUMIFS('Time Entries'!$M:$M,'Time Entries'!$B:$B,$B12,'Time Entries'!$F:$F,"&gt;="&amp;$D12,'Time Entries'!$F:$F,"&lt;="&amp;$E12,'Time Entries'!$P:$P,"&lt;&gt;Draft",'Time Entries'!$P:$P,"&lt;&gt;Rejected")</f>
        <v/>
      </c>
      <c r="K12" s="20">
        <f>SUMIFS('Time Entries'!$N:$N,'Time Entries'!$B:$B,$B12,'Time Entries'!$F:$F,"&gt;="&amp;$D12,'Time Entries'!$F:$F,"&lt;="&amp;$E12,'Time Entries'!$P:$P,"&lt;&gt;Draft",'Time Entries'!$P:$P,"&lt;&gt;Rejected")</f>
        <v/>
      </c>
      <c r="L12" s="20">
        <f>I12+J12-K12</f>
        <v/>
      </c>
      <c r="M12" s="21" t="n"/>
      <c r="N12" s="21" t="n"/>
    </row>
    <row r="13">
      <c r="C13">
        <f>IFERROR(VLOOKUP(B13,Workers!$A:$H,2,FALSE),"")</f>
        <v/>
      </c>
      <c r="D13" s="17" t="n"/>
      <c r="E13" s="17" t="n"/>
      <c r="H13" s="19">
        <f>SUMIFS('Time Entries'!$J:$J,'Time Entries'!$B:$B,$B13,'Time Entries'!$F:$F,"&gt;="&amp;$D13,'Time Entries'!$F:$F,"&lt;="&amp;$E13,'Time Entries'!$P:$P,"&lt;&gt;Draft",'Time Entries'!$P:$P,"&lt;&gt;Rejected")</f>
        <v/>
      </c>
      <c r="I13" s="20">
        <f>SUMIFS('Time Entries'!$L:$L,'Time Entries'!$B:$B,$B13,'Time Entries'!$F:$F,"&gt;="&amp;$D13,'Time Entries'!$F:$F,"&lt;="&amp;$E13,'Time Entries'!$P:$P,"&lt;&gt;Draft",'Time Entries'!$P:$P,"&lt;&gt;Rejected")</f>
        <v/>
      </c>
      <c r="J13" s="20">
        <f>SUMIFS('Time Entries'!$M:$M,'Time Entries'!$B:$B,$B13,'Time Entries'!$F:$F,"&gt;="&amp;$D13,'Time Entries'!$F:$F,"&lt;="&amp;$E13,'Time Entries'!$P:$P,"&lt;&gt;Draft",'Time Entries'!$P:$P,"&lt;&gt;Rejected")</f>
        <v/>
      </c>
      <c r="K13" s="20">
        <f>SUMIFS('Time Entries'!$N:$N,'Time Entries'!$B:$B,$B13,'Time Entries'!$F:$F,"&gt;="&amp;$D13,'Time Entries'!$F:$F,"&lt;="&amp;$E13,'Time Entries'!$P:$P,"&lt;&gt;Draft",'Time Entries'!$P:$P,"&lt;&gt;Rejected")</f>
        <v/>
      </c>
      <c r="L13" s="20">
        <f>I13+J13-K13</f>
        <v/>
      </c>
      <c r="M13" s="21" t="n"/>
      <c r="N13" s="21" t="n"/>
    </row>
    <row r="14">
      <c r="C14">
        <f>IFERROR(VLOOKUP(B14,Workers!$A:$H,2,FALSE),"")</f>
        <v/>
      </c>
      <c r="D14" s="17" t="n"/>
      <c r="E14" s="17" t="n"/>
      <c r="H14" s="19">
        <f>SUMIFS('Time Entries'!$J:$J,'Time Entries'!$B:$B,$B14,'Time Entries'!$F:$F,"&gt;="&amp;$D14,'Time Entries'!$F:$F,"&lt;="&amp;$E14,'Time Entries'!$P:$P,"&lt;&gt;Draft",'Time Entries'!$P:$P,"&lt;&gt;Rejected")</f>
        <v/>
      </c>
      <c r="I14" s="20">
        <f>SUMIFS('Time Entries'!$L:$L,'Time Entries'!$B:$B,$B14,'Time Entries'!$F:$F,"&gt;="&amp;$D14,'Time Entries'!$F:$F,"&lt;="&amp;$E14,'Time Entries'!$P:$P,"&lt;&gt;Draft",'Time Entries'!$P:$P,"&lt;&gt;Rejected")</f>
        <v/>
      </c>
      <c r="J14" s="20">
        <f>SUMIFS('Time Entries'!$M:$M,'Time Entries'!$B:$B,$B14,'Time Entries'!$F:$F,"&gt;="&amp;$D14,'Time Entries'!$F:$F,"&lt;="&amp;$E14,'Time Entries'!$P:$P,"&lt;&gt;Draft",'Time Entries'!$P:$P,"&lt;&gt;Rejected")</f>
        <v/>
      </c>
      <c r="K14" s="20">
        <f>SUMIFS('Time Entries'!$N:$N,'Time Entries'!$B:$B,$B14,'Time Entries'!$F:$F,"&gt;="&amp;$D14,'Time Entries'!$F:$F,"&lt;="&amp;$E14,'Time Entries'!$P:$P,"&lt;&gt;Draft",'Time Entries'!$P:$P,"&lt;&gt;Rejected")</f>
        <v/>
      </c>
      <c r="L14" s="20">
        <f>I14+J14-K14</f>
        <v/>
      </c>
      <c r="M14" s="21" t="n"/>
      <c r="N14" s="21" t="n"/>
    </row>
    <row r="15">
      <c r="C15">
        <f>IFERROR(VLOOKUP(B15,Workers!$A:$H,2,FALSE),"")</f>
        <v/>
      </c>
      <c r="D15" s="17" t="n"/>
      <c r="E15" s="17" t="n"/>
      <c r="H15" s="19">
        <f>SUMIFS('Time Entries'!$J:$J,'Time Entries'!$B:$B,$B15,'Time Entries'!$F:$F,"&gt;="&amp;$D15,'Time Entries'!$F:$F,"&lt;="&amp;$E15,'Time Entries'!$P:$P,"&lt;&gt;Draft",'Time Entries'!$P:$P,"&lt;&gt;Rejected")</f>
        <v/>
      </c>
      <c r="I15" s="20">
        <f>SUMIFS('Time Entries'!$L:$L,'Time Entries'!$B:$B,$B15,'Time Entries'!$F:$F,"&gt;="&amp;$D15,'Time Entries'!$F:$F,"&lt;="&amp;$E15,'Time Entries'!$P:$P,"&lt;&gt;Draft",'Time Entries'!$P:$P,"&lt;&gt;Rejected")</f>
        <v/>
      </c>
      <c r="J15" s="20">
        <f>SUMIFS('Time Entries'!$M:$M,'Time Entries'!$B:$B,$B15,'Time Entries'!$F:$F,"&gt;="&amp;$D15,'Time Entries'!$F:$F,"&lt;="&amp;$E15,'Time Entries'!$P:$P,"&lt;&gt;Draft",'Time Entries'!$P:$P,"&lt;&gt;Rejected")</f>
        <v/>
      </c>
      <c r="K15" s="20">
        <f>SUMIFS('Time Entries'!$N:$N,'Time Entries'!$B:$B,$B15,'Time Entries'!$F:$F,"&gt;="&amp;$D15,'Time Entries'!$F:$F,"&lt;="&amp;$E15,'Time Entries'!$P:$P,"&lt;&gt;Draft",'Time Entries'!$P:$P,"&lt;&gt;Rejected")</f>
        <v/>
      </c>
      <c r="L15" s="20">
        <f>I15+J15-K15</f>
        <v/>
      </c>
      <c r="M15" s="21" t="n"/>
      <c r="N15" s="21" t="n"/>
    </row>
    <row r="16">
      <c r="C16">
        <f>IFERROR(VLOOKUP(B16,Workers!$A:$H,2,FALSE),"")</f>
        <v/>
      </c>
      <c r="D16" s="17" t="n"/>
      <c r="E16" s="17" t="n"/>
      <c r="H16" s="19">
        <f>SUMIFS('Time Entries'!$J:$J,'Time Entries'!$B:$B,$B16,'Time Entries'!$F:$F,"&gt;="&amp;$D16,'Time Entries'!$F:$F,"&lt;="&amp;$E16,'Time Entries'!$P:$P,"&lt;&gt;Draft",'Time Entries'!$P:$P,"&lt;&gt;Rejected")</f>
        <v/>
      </c>
      <c r="I16" s="20">
        <f>SUMIFS('Time Entries'!$L:$L,'Time Entries'!$B:$B,$B16,'Time Entries'!$F:$F,"&gt;="&amp;$D16,'Time Entries'!$F:$F,"&lt;="&amp;$E16,'Time Entries'!$P:$P,"&lt;&gt;Draft",'Time Entries'!$P:$P,"&lt;&gt;Rejected")</f>
        <v/>
      </c>
      <c r="J16" s="20">
        <f>SUMIFS('Time Entries'!$M:$M,'Time Entries'!$B:$B,$B16,'Time Entries'!$F:$F,"&gt;="&amp;$D16,'Time Entries'!$F:$F,"&lt;="&amp;$E16,'Time Entries'!$P:$P,"&lt;&gt;Draft",'Time Entries'!$P:$P,"&lt;&gt;Rejected")</f>
        <v/>
      </c>
      <c r="K16" s="20">
        <f>SUMIFS('Time Entries'!$N:$N,'Time Entries'!$B:$B,$B16,'Time Entries'!$F:$F,"&gt;="&amp;$D16,'Time Entries'!$F:$F,"&lt;="&amp;$E16,'Time Entries'!$P:$P,"&lt;&gt;Draft",'Time Entries'!$P:$P,"&lt;&gt;Rejected")</f>
        <v/>
      </c>
      <c r="L16" s="20">
        <f>I16+J16-K16</f>
        <v/>
      </c>
      <c r="M16" s="21" t="n"/>
      <c r="N16" s="21" t="n"/>
    </row>
    <row r="17">
      <c r="C17">
        <f>IFERROR(VLOOKUP(B17,Workers!$A:$H,2,FALSE),"")</f>
        <v/>
      </c>
      <c r="D17" s="17" t="n"/>
      <c r="E17" s="17" t="n"/>
      <c r="H17" s="19">
        <f>SUMIFS('Time Entries'!$J:$J,'Time Entries'!$B:$B,$B17,'Time Entries'!$F:$F,"&gt;="&amp;$D17,'Time Entries'!$F:$F,"&lt;="&amp;$E17,'Time Entries'!$P:$P,"&lt;&gt;Draft",'Time Entries'!$P:$P,"&lt;&gt;Rejected")</f>
        <v/>
      </c>
      <c r="I17" s="20">
        <f>SUMIFS('Time Entries'!$L:$L,'Time Entries'!$B:$B,$B17,'Time Entries'!$F:$F,"&gt;="&amp;$D17,'Time Entries'!$F:$F,"&lt;="&amp;$E17,'Time Entries'!$P:$P,"&lt;&gt;Draft",'Time Entries'!$P:$P,"&lt;&gt;Rejected")</f>
        <v/>
      </c>
      <c r="J17" s="20">
        <f>SUMIFS('Time Entries'!$M:$M,'Time Entries'!$B:$B,$B17,'Time Entries'!$F:$F,"&gt;="&amp;$D17,'Time Entries'!$F:$F,"&lt;="&amp;$E17,'Time Entries'!$P:$P,"&lt;&gt;Draft",'Time Entries'!$P:$P,"&lt;&gt;Rejected")</f>
        <v/>
      </c>
      <c r="K17" s="20">
        <f>SUMIFS('Time Entries'!$N:$N,'Time Entries'!$B:$B,$B17,'Time Entries'!$F:$F,"&gt;="&amp;$D17,'Time Entries'!$F:$F,"&lt;="&amp;$E17,'Time Entries'!$P:$P,"&lt;&gt;Draft",'Time Entries'!$P:$P,"&lt;&gt;Rejected")</f>
        <v/>
      </c>
      <c r="L17" s="20">
        <f>I17+J17-K17</f>
        <v/>
      </c>
      <c r="M17" s="21" t="n"/>
      <c r="N17" s="21" t="n"/>
    </row>
    <row r="18">
      <c r="C18">
        <f>IFERROR(VLOOKUP(B18,Workers!$A:$H,2,FALSE),"")</f>
        <v/>
      </c>
      <c r="D18" s="17" t="n"/>
      <c r="E18" s="17" t="n"/>
      <c r="H18" s="19">
        <f>SUMIFS('Time Entries'!$J:$J,'Time Entries'!$B:$B,$B18,'Time Entries'!$F:$F,"&gt;="&amp;$D18,'Time Entries'!$F:$F,"&lt;="&amp;$E18,'Time Entries'!$P:$P,"&lt;&gt;Draft",'Time Entries'!$P:$P,"&lt;&gt;Rejected")</f>
        <v/>
      </c>
      <c r="I18" s="20">
        <f>SUMIFS('Time Entries'!$L:$L,'Time Entries'!$B:$B,$B18,'Time Entries'!$F:$F,"&gt;="&amp;$D18,'Time Entries'!$F:$F,"&lt;="&amp;$E18,'Time Entries'!$P:$P,"&lt;&gt;Draft",'Time Entries'!$P:$P,"&lt;&gt;Rejected")</f>
        <v/>
      </c>
      <c r="J18" s="20">
        <f>SUMIFS('Time Entries'!$M:$M,'Time Entries'!$B:$B,$B18,'Time Entries'!$F:$F,"&gt;="&amp;$D18,'Time Entries'!$F:$F,"&lt;="&amp;$E18,'Time Entries'!$P:$P,"&lt;&gt;Draft",'Time Entries'!$P:$P,"&lt;&gt;Rejected")</f>
        <v/>
      </c>
      <c r="K18" s="20">
        <f>SUMIFS('Time Entries'!$N:$N,'Time Entries'!$B:$B,$B18,'Time Entries'!$F:$F,"&gt;="&amp;$D18,'Time Entries'!$F:$F,"&lt;="&amp;$E18,'Time Entries'!$P:$P,"&lt;&gt;Draft",'Time Entries'!$P:$P,"&lt;&gt;Rejected")</f>
        <v/>
      </c>
      <c r="L18" s="20">
        <f>I18+J18-K18</f>
        <v/>
      </c>
      <c r="M18" s="21" t="n"/>
      <c r="N18" s="21" t="n"/>
    </row>
    <row r="19">
      <c r="C19">
        <f>IFERROR(VLOOKUP(B19,Workers!$A:$H,2,FALSE),"")</f>
        <v/>
      </c>
      <c r="D19" s="17" t="n"/>
      <c r="E19" s="17" t="n"/>
      <c r="H19" s="19">
        <f>SUMIFS('Time Entries'!$J:$J,'Time Entries'!$B:$B,$B19,'Time Entries'!$F:$F,"&gt;="&amp;$D19,'Time Entries'!$F:$F,"&lt;="&amp;$E19,'Time Entries'!$P:$P,"&lt;&gt;Draft",'Time Entries'!$P:$P,"&lt;&gt;Rejected")</f>
        <v/>
      </c>
      <c r="I19" s="20">
        <f>SUMIFS('Time Entries'!$L:$L,'Time Entries'!$B:$B,$B19,'Time Entries'!$F:$F,"&gt;="&amp;$D19,'Time Entries'!$F:$F,"&lt;="&amp;$E19,'Time Entries'!$P:$P,"&lt;&gt;Draft",'Time Entries'!$P:$P,"&lt;&gt;Rejected")</f>
        <v/>
      </c>
      <c r="J19" s="20">
        <f>SUMIFS('Time Entries'!$M:$M,'Time Entries'!$B:$B,$B19,'Time Entries'!$F:$F,"&gt;="&amp;$D19,'Time Entries'!$F:$F,"&lt;="&amp;$E19,'Time Entries'!$P:$P,"&lt;&gt;Draft",'Time Entries'!$P:$P,"&lt;&gt;Rejected")</f>
        <v/>
      </c>
      <c r="K19" s="20">
        <f>SUMIFS('Time Entries'!$N:$N,'Time Entries'!$B:$B,$B19,'Time Entries'!$F:$F,"&gt;="&amp;$D19,'Time Entries'!$F:$F,"&lt;="&amp;$E19,'Time Entries'!$P:$P,"&lt;&gt;Draft",'Time Entries'!$P:$P,"&lt;&gt;Rejected")</f>
        <v/>
      </c>
      <c r="L19" s="20">
        <f>I19+J19-K19</f>
        <v/>
      </c>
      <c r="M19" s="21" t="n"/>
      <c r="N19" s="21" t="n"/>
    </row>
    <row r="20">
      <c r="C20">
        <f>IFERROR(VLOOKUP(B20,Workers!$A:$H,2,FALSE),"")</f>
        <v/>
      </c>
      <c r="D20" s="17" t="n"/>
      <c r="E20" s="17" t="n"/>
      <c r="H20" s="19">
        <f>SUMIFS('Time Entries'!$J:$J,'Time Entries'!$B:$B,$B20,'Time Entries'!$F:$F,"&gt;="&amp;$D20,'Time Entries'!$F:$F,"&lt;="&amp;$E20,'Time Entries'!$P:$P,"&lt;&gt;Draft",'Time Entries'!$P:$P,"&lt;&gt;Rejected")</f>
        <v/>
      </c>
      <c r="I20" s="20">
        <f>SUMIFS('Time Entries'!$L:$L,'Time Entries'!$B:$B,$B20,'Time Entries'!$F:$F,"&gt;="&amp;$D20,'Time Entries'!$F:$F,"&lt;="&amp;$E20,'Time Entries'!$P:$P,"&lt;&gt;Draft",'Time Entries'!$P:$P,"&lt;&gt;Rejected")</f>
        <v/>
      </c>
      <c r="J20" s="20">
        <f>SUMIFS('Time Entries'!$M:$M,'Time Entries'!$B:$B,$B20,'Time Entries'!$F:$F,"&gt;="&amp;$D20,'Time Entries'!$F:$F,"&lt;="&amp;$E20,'Time Entries'!$P:$P,"&lt;&gt;Draft",'Time Entries'!$P:$P,"&lt;&gt;Rejected")</f>
        <v/>
      </c>
      <c r="K20" s="20">
        <f>SUMIFS('Time Entries'!$N:$N,'Time Entries'!$B:$B,$B20,'Time Entries'!$F:$F,"&gt;="&amp;$D20,'Time Entries'!$F:$F,"&lt;="&amp;$E20,'Time Entries'!$P:$P,"&lt;&gt;Draft",'Time Entries'!$P:$P,"&lt;&gt;Rejected")</f>
        <v/>
      </c>
      <c r="L20" s="20">
        <f>I20+J20-K20</f>
        <v/>
      </c>
      <c r="M20" s="21" t="n"/>
      <c r="N20" s="21" t="n"/>
    </row>
    <row r="21">
      <c r="C21">
        <f>IFERROR(VLOOKUP(B21,Workers!$A:$H,2,FALSE),"")</f>
        <v/>
      </c>
      <c r="D21" s="17" t="n"/>
      <c r="E21" s="17" t="n"/>
      <c r="H21" s="19">
        <f>SUMIFS('Time Entries'!$J:$J,'Time Entries'!$B:$B,$B21,'Time Entries'!$F:$F,"&gt;="&amp;$D21,'Time Entries'!$F:$F,"&lt;="&amp;$E21,'Time Entries'!$P:$P,"&lt;&gt;Draft",'Time Entries'!$P:$P,"&lt;&gt;Rejected")</f>
        <v/>
      </c>
      <c r="I21" s="20">
        <f>SUMIFS('Time Entries'!$L:$L,'Time Entries'!$B:$B,$B21,'Time Entries'!$F:$F,"&gt;="&amp;$D21,'Time Entries'!$F:$F,"&lt;="&amp;$E21,'Time Entries'!$P:$P,"&lt;&gt;Draft",'Time Entries'!$P:$P,"&lt;&gt;Rejected")</f>
        <v/>
      </c>
      <c r="J21" s="20">
        <f>SUMIFS('Time Entries'!$M:$M,'Time Entries'!$B:$B,$B21,'Time Entries'!$F:$F,"&gt;="&amp;$D21,'Time Entries'!$F:$F,"&lt;="&amp;$E21,'Time Entries'!$P:$P,"&lt;&gt;Draft",'Time Entries'!$P:$P,"&lt;&gt;Rejected")</f>
        <v/>
      </c>
      <c r="K21" s="20">
        <f>SUMIFS('Time Entries'!$N:$N,'Time Entries'!$B:$B,$B21,'Time Entries'!$F:$F,"&gt;="&amp;$D21,'Time Entries'!$F:$F,"&lt;="&amp;$E21,'Time Entries'!$P:$P,"&lt;&gt;Draft",'Time Entries'!$P:$P,"&lt;&gt;Rejected")</f>
        <v/>
      </c>
      <c r="L21" s="20">
        <f>I21+J21-K21</f>
        <v/>
      </c>
      <c r="M21" s="21" t="n"/>
      <c r="N21" s="21" t="n"/>
    </row>
    <row r="22">
      <c r="C22">
        <f>IFERROR(VLOOKUP(B22,Workers!$A:$H,2,FALSE),"")</f>
        <v/>
      </c>
      <c r="D22" s="17" t="n"/>
      <c r="E22" s="17" t="n"/>
      <c r="H22" s="19">
        <f>SUMIFS('Time Entries'!$J:$J,'Time Entries'!$B:$B,$B22,'Time Entries'!$F:$F,"&gt;="&amp;$D22,'Time Entries'!$F:$F,"&lt;="&amp;$E22,'Time Entries'!$P:$P,"&lt;&gt;Draft",'Time Entries'!$P:$P,"&lt;&gt;Rejected")</f>
        <v/>
      </c>
      <c r="I22" s="20">
        <f>SUMIFS('Time Entries'!$L:$L,'Time Entries'!$B:$B,$B22,'Time Entries'!$F:$F,"&gt;="&amp;$D22,'Time Entries'!$F:$F,"&lt;="&amp;$E22,'Time Entries'!$P:$P,"&lt;&gt;Draft",'Time Entries'!$P:$P,"&lt;&gt;Rejected")</f>
        <v/>
      </c>
      <c r="J22" s="20">
        <f>SUMIFS('Time Entries'!$M:$M,'Time Entries'!$B:$B,$B22,'Time Entries'!$F:$F,"&gt;="&amp;$D22,'Time Entries'!$F:$F,"&lt;="&amp;$E22,'Time Entries'!$P:$P,"&lt;&gt;Draft",'Time Entries'!$P:$P,"&lt;&gt;Rejected")</f>
        <v/>
      </c>
      <c r="K22" s="20">
        <f>SUMIFS('Time Entries'!$N:$N,'Time Entries'!$B:$B,$B22,'Time Entries'!$F:$F,"&gt;="&amp;$D22,'Time Entries'!$F:$F,"&lt;="&amp;$E22,'Time Entries'!$P:$P,"&lt;&gt;Draft",'Time Entries'!$P:$P,"&lt;&gt;Rejected")</f>
        <v/>
      </c>
      <c r="L22" s="20">
        <f>I22+J22-K22</f>
        <v/>
      </c>
      <c r="M22" s="21" t="n"/>
      <c r="N22" s="21" t="n"/>
    </row>
    <row r="23">
      <c r="C23">
        <f>IFERROR(VLOOKUP(B23,Workers!$A:$H,2,FALSE),"")</f>
        <v/>
      </c>
      <c r="D23" s="17" t="n"/>
      <c r="E23" s="17" t="n"/>
      <c r="H23" s="19">
        <f>SUMIFS('Time Entries'!$J:$J,'Time Entries'!$B:$B,$B23,'Time Entries'!$F:$F,"&gt;="&amp;$D23,'Time Entries'!$F:$F,"&lt;="&amp;$E23,'Time Entries'!$P:$P,"&lt;&gt;Draft",'Time Entries'!$P:$P,"&lt;&gt;Rejected")</f>
        <v/>
      </c>
      <c r="I23" s="20">
        <f>SUMIFS('Time Entries'!$L:$L,'Time Entries'!$B:$B,$B23,'Time Entries'!$F:$F,"&gt;="&amp;$D23,'Time Entries'!$F:$F,"&lt;="&amp;$E23,'Time Entries'!$P:$P,"&lt;&gt;Draft",'Time Entries'!$P:$P,"&lt;&gt;Rejected")</f>
        <v/>
      </c>
      <c r="J23" s="20">
        <f>SUMIFS('Time Entries'!$M:$M,'Time Entries'!$B:$B,$B23,'Time Entries'!$F:$F,"&gt;="&amp;$D23,'Time Entries'!$F:$F,"&lt;="&amp;$E23,'Time Entries'!$P:$P,"&lt;&gt;Draft",'Time Entries'!$P:$P,"&lt;&gt;Rejected")</f>
        <v/>
      </c>
      <c r="K23" s="20">
        <f>SUMIFS('Time Entries'!$N:$N,'Time Entries'!$B:$B,$B23,'Time Entries'!$F:$F,"&gt;="&amp;$D23,'Time Entries'!$F:$F,"&lt;="&amp;$E23,'Time Entries'!$P:$P,"&lt;&gt;Draft",'Time Entries'!$P:$P,"&lt;&gt;Rejected")</f>
        <v/>
      </c>
      <c r="L23" s="20">
        <f>I23+J23-K23</f>
        <v/>
      </c>
      <c r="M23" s="21" t="n"/>
      <c r="N23" s="21" t="n"/>
    </row>
    <row r="24">
      <c r="C24">
        <f>IFERROR(VLOOKUP(B24,Workers!$A:$H,2,FALSE),"")</f>
        <v/>
      </c>
      <c r="D24" s="17" t="n"/>
      <c r="E24" s="17" t="n"/>
      <c r="H24" s="19">
        <f>SUMIFS('Time Entries'!$J:$J,'Time Entries'!$B:$B,$B24,'Time Entries'!$F:$F,"&gt;="&amp;$D24,'Time Entries'!$F:$F,"&lt;="&amp;$E24,'Time Entries'!$P:$P,"&lt;&gt;Draft",'Time Entries'!$P:$P,"&lt;&gt;Rejected")</f>
        <v/>
      </c>
      <c r="I24" s="20">
        <f>SUMIFS('Time Entries'!$L:$L,'Time Entries'!$B:$B,$B24,'Time Entries'!$F:$F,"&gt;="&amp;$D24,'Time Entries'!$F:$F,"&lt;="&amp;$E24,'Time Entries'!$P:$P,"&lt;&gt;Draft",'Time Entries'!$P:$P,"&lt;&gt;Rejected")</f>
        <v/>
      </c>
      <c r="J24" s="20">
        <f>SUMIFS('Time Entries'!$M:$M,'Time Entries'!$B:$B,$B24,'Time Entries'!$F:$F,"&gt;="&amp;$D24,'Time Entries'!$F:$F,"&lt;="&amp;$E24,'Time Entries'!$P:$P,"&lt;&gt;Draft",'Time Entries'!$P:$P,"&lt;&gt;Rejected")</f>
        <v/>
      </c>
      <c r="K24" s="20">
        <f>SUMIFS('Time Entries'!$N:$N,'Time Entries'!$B:$B,$B24,'Time Entries'!$F:$F,"&gt;="&amp;$D24,'Time Entries'!$F:$F,"&lt;="&amp;$E24,'Time Entries'!$P:$P,"&lt;&gt;Draft",'Time Entries'!$P:$P,"&lt;&gt;Rejected")</f>
        <v/>
      </c>
      <c r="L24" s="20">
        <f>I24+J24-K24</f>
        <v/>
      </c>
      <c r="M24" s="21" t="n"/>
      <c r="N24" s="21" t="n"/>
    </row>
    <row r="25">
      <c r="C25">
        <f>IFERROR(VLOOKUP(B25,Workers!$A:$H,2,FALSE),"")</f>
        <v/>
      </c>
      <c r="D25" s="17" t="n"/>
      <c r="E25" s="17" t="n"/>
      <c r="H25" s="19">
        <f>SUMIFS('Time Entries'!$J:$J,'Time Entries'!$B:$B,$B25,'Time Entries'!$F:$F,"&gt;="&amp;$D25,'Time Entries'!$F:$F,"&lt;="&amp;$E25,'Time Entries'!$P:$P,"&lt;&gt;Draft",'Time Entries'!$P:$P,"&lt;&gt;Rejected")</f>
        <v/>
      </c>
      <c r="I25" s="20">
        <f>SUMIFS('Time Entries'!$L:$L,'Time Entries'!$B:$B,$B25,'Time Entries'!$F:$F,"&gt;="&amp;$D25,'Time Entries'!$F:$F,"&lt;="&amp;$E25,'Time Entries'!$P:$P,"&lt;&gt;Draft",'Time Entries'!$P:$P,"&lt;&gt;Rejected")</f>
        <v/>
      </c>
      <c r="J25" s="20">
        <f>SUMIFS('Time Entries'!$M:$M,'Time Entries'!$B:$B,$B25,'Time Entries'!$F:$F,"&gt;="&amp;$D25,'Time Entries'!$F:$F,"&lt;="&amp;$E25,'Time Entries'!$P:$P,"&lt;&gt;Draft",'Time Entries'!$P:$P,"&lt;&gt;Rejected")</f>
        <v/>
      </c>
      <c r="K25" s="20">
        <f>SUMIFS('Time Entries'!$N:$N,'Time Entries'!$B:$B,$B25,'Time Entries'!$F:$F,"&gt;="&amp;$D25,'Time Entries'!$F:$F,"&lt;="&amp;$E25,'Time Entries'!$P:$P,"&lt;&gt;Draft",'Time Entries'!$P:$P,"&lt;&gt;Rejected")</f>
        <v/>
      </c>
      <c r="L25" s="20">
        <f>I25+J25-K25</f>
        <v/>
      </c>
      <c r="M25" s="21" t="n"/>
      <c r="N25" s="21" t="n"/>
    </row>
    <row r="26">
      <c r="C26">
        <f>IFERROR(VLOOKUP(B26,Workers!$A:$H,2,FALSE),"")</f>
        <v/>
      </c>
      <c r="D26" s="17" t="n"/>
      <c r="E26" s="17" t="n"/>
      <c r="H26" s="19">
        <f>SUMIFS('Time Entries'!$J:$J,'Time Entries'!$B:$B,$B26,'Time Entries'!$F:$F,"&gt;="&amp;$D26,'Time Entries'!$F:$F,"&lt;="&amp;$E26,'Time Entries'!$P:$P,"&lt;&gt;Draft",'Time Entries'!$P:$P,"&lt;&gt;Rejected")</f>
        <v/>
      </c>
      <c r="I26" s="20">
        <f>SUMIFS('Time Entries'!$L:$L,'Time Entries'!$B:$B,$B26,'Time Entries'!$F:$F,"&gt;="&amp;$D26,'Time Entries'!$F:$F,"&lt;="&amp;$E26,'Time Entries'!$P:$P,"&lt;&gt;Draft",'Time Entries'!$P:$P,"&lt;&gt;Rejected")</f>
        <v/>
      </c>
      <c r="J26" s="20">
        <f>SUMIFS('Time Entries'!$M:$M,'Time Entries'!$B:$B,$B26,'Time Entries'!$F:$F,"&gt;="&amp;$D26,'Time Entries'!$F:$F,"&lt;="&amp;$E26,'Time Entries'!$P:$P,"&lt;&gt;Draft",'Time Entries'!$P:$P,"&lt;&gt;Rejected")</f>
        <v/>
      </c>
      <c r="K26" s="20">
        <f>SUMIFS('Time Entries'!$N:$N,'Time Entries'!$B:$B,$B26,'Time Entries'!$F:$F,"&gt;="&amp;$D26,'Time Entries'!$F:$F,"&lt;="&amp;$E26,'Time Entries'!$P:$P,"&lt;&gt;Draft",'Time Entries'!$P:$P,"&lt;&gt;Rejected")</f>
        <v/>
      </c>
      <c r="L26" s="20">
        <f>I26+J26-K26</f>
        <v/>
      </c>
      <c r="M26" s="21" t="n"/>
      <c r="N26" s="21" t="n"/>
    </row>
    <row r="27">
      <c r="C27">
        <f>IFERROR(VLOOKUP(B27,Workers!$A:$H,2,FALSE),"")</f>
        <v/>
      </c>
      <c r="D27" s="17" t="n"/>
      <c r="E27" s="17" t="n"/>
      <c r="H27" s="19">
        <f>SUMIFS('Time Entries'!$J:$J,'Time Entries'!$B:$B,$B27,'Time Entries'!$F:$F,"&gt;="&amp;$D27,'Time Entries'!$F:$F,"&lt;="&amp;$E27,'Time Entries'!$P:$P,"&lt;&gt;Draft",'Time Entries'!$P:$P,"&lt;&gt;Rejected")</f>
        <v/>
      </c>
      <c r="I27" s="20">
        <f>SUMIFS('Time Entries'!$L:$L,'Time Entries'!$B:$B,$B27,'Time Entries'!$F:$F,"&gt;="&amp;$D27,'Time Entries'!$F:$F,"&lt;="&amp;$E27,'Time Entries'!$P:$P,"&lt;&gt;Draft",'Time Entries'!$P:$P,"&lt;&gt;Rejected")</f>
        <v/>
      </c>
      <c r="J27" s="20">
        <f>SUMIFS('Time Entries'!$M:$M,'Time Entries'!$B:$B,$B27,'Time Entries'!$F:$F,"&gt;="&amp;$D27,'Time Entries'!$F:$F,"&lt;="&amp;$E27,'Time Entries'!$P:$P,"&lt;&gt;Draft",'Time Entries'!$P:$P,"&lt;&gt;Rejected")</f>
        <v/>
      </c>
      <c r="K27" s="20">
        <f>SUMIFS('Time Entries'!$N:$N,'Time Entries'!$B:$B,$B27,'Time Entries'!$F:$F,"&gt;="&amp;$D27,'Time Entries'!$F:$F,"&lt;="&amp;$E27,'Time Entries'!$P:$P,"&lt;&gt;Draft",'Time Entries'!$P:$P,"&lt;&gt;Rejected")</f>
        <v/>
      </c>
      <c r="L27" s="20">
        <f>I27+J27-K27</f>
        <v/>
      </c>
      <c r="M27" s="21" t="n"/>
      <c r="N27" s="21" t="n"/>
    </row>
    <row r="28">
      <c r="C28">
        <f>IFERROR(VLOOKUP(B28,Workers!$A:$H,2,FALSE),"")</f>
        <v/>
      </c>
      <c r="D28" s="17" t="n"/>
      <c r="E28" s="17" t="n"/>
      <c r="H28" s="19">
        <f>SUMIFS('Time Entries'!$J:$J,'Time Entries'!$B:$B,$B28,'Time Entries'!$F:$F,"&gt;="&amp;$D28,'Time Entries'!$F:$F,"&lt;="&amp;$E28,'Time Entries'!$P:$P,"&lt;&gt;Draft",'Time Entries'!$P:$P,"&lt;&gt;Rejected")</f>
        <v/>
      </c>
      <c r="I28" s="20">
        <f>SUMIFS('Time Entries'!$L:$L,'Time Entries'!$B:$B,$B28,'Time Entries'!$F:$F,"&gt;="&amp;$D28,'Time Entries'!$F:$F,"&lt;="&amp;$E28,'Time Entries'!$P:$P,"&lt;&gt;Draft",'Time Entries'!$P:$P,"&lt;&gt;Rejected")</f>
        <v/>
      </c>
      <c r="J28" s="20">
        <f>SUMIFS('Time Entries'!$M:$M,'Time Entries'!$B:$B,$B28,'Time Entries'!$F:$F,"&gt;="&amp;$D28,'Time Entries'!$F:$F,"&lt;="&amp;$E28,'Time Entries'!$P:$P,"&lt;&gt;Draft",'Time Entries'!$P:$P,"&lt;&gt;Rejected")</f>
        <v/>
      </c>
      <c r="K28" s="20">
        <f>SUMIFS('Time Entries'!$N:$N,'Time Entries'!$B:$B,$B28,'Time Entries'!$F:$F,"&gt;="&amp;$D28,'Time Entries'!$F:$F,"&lt;="&amp;$E28,'Time Entries'!$P:$P,"&lt;&gt;Draft",'Time Entries'!$P:$P,"&lt;&gt;Rejected")</f>
        <v/>
      </c>
      <c r="L28" s="20">
        <f>I28+J28-K28</f>
        <v/>
      </c>
      <c r="M28" s="21" t="n"/>
      <c r="N28" s="21" t="n"/>
    </row>
    <row r="29">
      <c r="C29">
        <f>IFERROR(VLOOKUP(B29,Workers!$A:$H,2,FALSE),"")</f>
        <v/>
      </c>
      <c r="D29" s="17" t="n"/>
      <c r="E29" s="17" t="n"/>
      <c r="H29" s="19">
        <f>SUMIFS('Time Entries'!$J:$J,'Time Entries'!$B:$B,$B29,'Time Entries'!$F:$F,"&gt;="&amp;$D29,'Time Entries'!$F:$F,"&lt;="&amp;$E29,'Time Entries'!$P:$P,"&lt;&gt;Draft",'Time Entries'!$P:$P,"&lt;&gt;Rejected")</f>
        <v/>
      </c>
      <c r="I29" s="20">
        <f>SUMIFS('Time Entries'!$L:$L,'Time Entries'!$B:$B,$B29,'Time Entries'!$F:$F,"&gt;="&amp;$D29,'Time Entries'!$F:$F,"&lt;="&amp;$E29,'Time Entries'!$P:$P,"&lt;&gt;Draft",'Time Entries'!$P:$P,"&lt;&gt;Rejected")</f>
        <v/>
      </c>
      <c r="J29" s="20">
        <f>SUMIFS('Time Entries'!$M:$M,'Time Entries'!$B:$B,$B29,'Time Entries'!$F:$F,"&gt;="&amp;$D29,'Time Entries'!$F:$F,"&lt;="&amp;$E29,'Time Entries'!$P:$P,"&lt;&gt;Draft",'Time Entries'!$P:$P,"&lt;&gt;Rejected")</f>
        <v/>
      </c>
      <c r="K29" s="20">
        <f>SUMIFS('Time Entries'!$N:$N,'Time Entries'!$B:$B,$B29,'Time Entries'!$F:$F,"&gt;="&amp;$D29,'Time Entries'!$F:$F,"&lt;="&amp;$E29,'Time Entries'!$P:$P,"&lt;&gt;Draft",'Time Entries'!$P:$P,"&lt;&gt;Rejected")</f>
        <v/>
      </c>
      <c r="L29" s="20">
        <f>I29+J29-K29</f>
        <v/>
      </c>
      <c r="M29" s="21" t="n"/>
      <c r="N29" s="21" t="n"/>
    </row>
    <row r="30">
      <c r="C30">
        <f>IFERROR(VLOOKUP(B30,Workers!$A:$H,2,FALSE),"")</f>
        <v/>
      </c>
      <c r="D30" s="17" t="n"/>
      <c r="E30" s="17" t="n"/>
      <c r="H30" s="19">
        <f>SUMIFS('Time Entries'!$J:$J,'Time Entries'!$B:$B,$B30,'Time Entries'!$F:$F,"&gt;="&amp;$D30,'Time Entries'!$F:$F,"&lt;="&amp;$E30,'Time Entries'!$P:$P,"&lt;&gt;Draft",'Time Entries'!$P:$P,"&lt;&gt;Rejected")</f>
        <v/>
      </c>
      <c r="I30" s="20">
        <f>SUMIFS('Time Entries'!$L:$L,'Time Entries'!$B:$B,$B30,'Time Entries'!$F:$F,"&gt;="&amp;$D30,'Time Entries'!$F:$F,"&lt;="&amp;$E30,'Time Entries'!$P:$P,"&lt;&gt;Draft",'Time Entries'!$P:$P,"&lt;&gt;Rejected")</f>
        <v/>
      </c>
      <c r="J30" s="20">
        <f>SUMIFS('Time Entries'!$M:$M,'Time Entries'!$B:$B,$B30,'Time Entries'!$F:$F,"&gt;="&amp;$D30,'Time Entries'!$F:$F,"&lt;="&amp;$E30,'Time Entries'!$P:$P,"&lt;&gt;Draft",'Time Entries'!$P:$P,"&lt;&gt;Rejected")</f>
        <v/>
      </c>
      <c r="K30" s="20">
        <f>SUMIFS('Time Entries'!$N:$N,'Time Entries'!$B:$B,$B30,'Time Entries'!$F:$F,"&gt;="&amp;$D30,'Time Entries'!$F:$F,"&lt;="&amp;$E30,'Time Entries'!$P:$P,"&lt;&gt;Draft",'Time Entries'!$P:$P,"&lt;&gt;Rejected")</f>
        <v/>
      </c>
      <c r="L30" s="20">
        <f>I30+J30-K30</f>
        <v/>
      </c>
      <c r="M30" s="21" t="n"/>
      <c r="N30" s="21" t="n"/>
    </row>
    <row r="31">
      <c r="C31">
        <f>IFERROR(VLOOKUP(B31,Workers!$A:$H,2,FALSE),"")</f>
        <v/>
      </c>
      <c r="D31" s="17" t="n"/>
      <c r="E31" s="17" t="n"/>
      <c r="H31" s="19">
        <f>SUMIFS('Time Entries'!$J:$J,'Time Entries'!$B:$B,$B31,'Time Entries'!$F:$F,"&gt;="&amp;$D31,'Time Entries'!$F:$F,"&lt;="&amp;$E31,'Time Entries'!$P:$P,"&lt;&gt;Draft",'Time Entries'!$P:$P,"&lt;&gt;Rejected")</f>
        <v/>
      </c>
      <c r="I31" s="20">
        <f>SUMIFS('Time Entries'!$L:$L,'Time Entries'!$B:$B,$B31,'Time Entries'!$F:$F,"&gt;="&amp;$D31,'Time Entries'!$F:$F,"&lt;="&amp;$E31,'Time Entries'!$P:$P,"&lt;&gt;Draft",'Time Entries'!$P:$P,"&lt;&gt;Rejected")</f>
        <v/>
      </c>
      <c r="J31" s="20">
        <f>SUMIFS('Time Entries'!$M:$M,'Time Entries'!$B:$B,$B31,'Time Entries'!$F:$F,"&gt;="&amp;$D31,'Time Entries'!$F:$F,"&lt;="&amp;$E31,'Time Entries'!$P:$P,"&lt;&gt;Draft",'Time Entries'!$P:$P,"&lt;&gt;Rejected")</f>
        <v/>
      </c>
      <c r="K31" s="20">
        <f>SUMIFS('Time Entries'!$N:$N,'Time Entries'!$B:$B,$B31,'Time Entries'!$F:$F,"&gt;="&amp;$D31,'Time Entries'!$F:$F,"&lt;="&amp;$E31,'Time Entries'!$P:$P,"&lt;&gt;Draft",'Time Entries'!$P:$P,"&lt;&gt;Rejected")</f>
        <v/>
      </c>
      <c r="L31" s="20">
        <f>I31+J31-K31</f>
        <v/>
      </c>
      <c r="M31" s="21" t="n"/>
      <c r="N31" s="21" t="n"/>
    </row>
    <row r="32">
      <c r="C32">
        <f>IFERROR(VLOOKUP(B32,Workers!$A:$H,2,FALSE),"")</f>
        <v/>
      </c>
      <c r="D32" s="17" t="n"/>
      <c r="E32" s="17" t="n"/>
      <c r="H32" s="19">
        <f>SUMIFS('Time Entries'!$J:$J,'Time Entries'!$B:$B,$B32,'Time Entries'!$F:$F,"&gt;="&amp;$D32,'Time Entries'!$F:$F,"&lt;="&amp;$E32,'Time Entries'!$P:$P,"&lt;&gt;Draft",'Time Entries'!$P:$P,"&lt;&gt;Rejected")</f>
        <v/>
      </c>
      <c r="I32" s="20">
        <f>SUMIFS('Time Entries'!$L:$L,'Time Entries'!$B:$B,$B32,'Time Entries'!$F:$F,"&gt;="&amp;$D32,'Time Entries'!$F:$F,"&lt;="&amp;$E32,'Time Entries'!$P:$P,"&lt;&gt;Draft",'Time Entries'!$P:$P,"&lt;&gt;Rejected")</f>
        <v/>
      </c>
      <c r="J32" s="20">
        <f>SUMIFS('Time Entries'!$M:$M,'Time Entries'!$B:$B,$B32,'Time Entries'!$F:$F,"&gt;="&amp;$D32,'Time Entries'!$F:$F,"&lt;="&amp;$E32,'Time Entries'!$P:$P,"&lt;&gt;Draft",'Time Entries'!$P:$P,"&lt;&gt;Rejected")</f>
        <v/>
      </c>
      <c r="K32" s="20">
        <f>SUMIFS('Time Entries'!$N:$N,'Time Entries'!$B:$B,$B32,'Time Entries'!$F:$F,"&gt;="&amp;$D32,'Time Entries'!$F:$F,"&lt;="&amp;$E32,'Time Entries'!$P:$P,"&lt;&gt;Draft",'Time Entries'!$P:$P,"&lt;&gt;Rejected")</f>
        <v/>
      </c>
      <c r="L32" s="20">
        <f>I32+J32-K32</f>
        <v/>
      </c>
      <c r="M32" s="21" t="n"/>
      <c r="N32" s="21" t="n"/>
    </row>
    <row r="33">
      <c r="C33">
        <f>IFERROR(VLOOKUP(B33,Workers!$A:$H,2,FALSE),"")</f>
        <v/>
      </c>
      <c r="D33" s="17" t="n"/>
      <c r="E33" s="17" t="n"/>
      <c r="H33" s="19">
        <f>SUMIFS('Time Entries'!$J:$J,'Time Entries'!$B:$B,$B33,'Time Entries'!$F:$F,"&gt;="&amp;$D33,'Time Entries'!$F:$F,"&lt;="&amp;$E33,'Time Entries'!$P:$P,"&lt;&gt;Draft",'Time Entries'!$P:$P,"&lt;&gt;Rejected")</f>
        <v/>
      </c>
      <c r="I33" s="20">
        <f>SUMIFS('Time Entries'!$L:$L,'Time Entries'!$B:$B,$B33,'Time Entries'!$F:$F,"&gt;="&amp;$D33,'Time Entries'!$F:$F,"&lt;="&amp;$E33,'Time Entries'!$P:$P,"&lt;&gt;Draft",'Time Entries'!$P:$P,"&lt;&gt;Rejected")</f>
        <v/>
      </c>
      <c r="J33" s="20">
        <f>SUMIFS('Time Entries'!$M:$M,'Time Entries'!$B:$B,$B33,'Time Entries'!$F:$F,"&gt;="&amp;$D33,'Time Entries'!$F:$F,"&lt;="&amp;$E33,'Time Entries'!$P:$P,"&lt;&gt;Draft",'Time Entries'!$P:$P,"&lt;&gt;Rejected")</f>
        <v/>
      </c>
      <c r="K33" s="20">
        <f>SUMIFS('Time Entries'!$N:$N,'Time Entries'!$B:$B,$B33,'Time Entries'!$F:$F,"&gt;="&amp;$D33,'Time Entries'!$F:$F,"&lt;="&amp;$E33,'Time Entries'!$P:$P,"&lt;&gt;Draft",'Time Entries'!$P:$P,"&lt;&gt;Rejected")</f>
        <v/>
      </c>
      <c r="L33" s="20">
        <f>I33+J33-K33</f>
        <v/>
      </c>
      <c r="M33" s="21" t="n"/>
      <c r="N33" s="21" t="n"/>
    </row>
    <row r="34">
      <c r="C34">
        <f>IFERROR(VLOOKUP(B34,Workers!$A:$H,2,FALSE),"")</f>
        <v/>
      </c>
      <c r="D34" s="17" t="n"/>
      <c r="E34" s="17" t="n"/>
      <c r="H34" s="19">
        <f>SUMIFS('Time Entries'!$J:$J,'Time Entries'!$B:$B,$B34,'Time Entries'!$F:$F,"&gt;="&amp;$D34,'Time Entries'!$F:$F,"&lt;="&amp;$E34,'Time Entries'!$P:$P,"&lt;&gt;Draft",'Time Entries'!$P:$P,"&lt;&gt;Rejected")</f>
        <v/>
      </c>
      <c r="I34" s="20">
        <f>SUMIFS('Time Entries'!$L:$L,'Time Entries'!$B:$B,$B34,'Time Entries'!$F:$F,"&gt;="&amp;$D34,'Time Entries'!$F:$F,"&lt;="&amp;$E34,'Time Entries'!$P:$P,"&lt;&gt;Draft",'Time Entries'!$P:$P,"&lt;&gt;Rejected")</f>
        <v/>
      </c>
      <c r="J34" s="20">
        <f>SUMIFS('Time Entries'!$M:$M,'Time Entries'!$B:$B,$B34,'Time Entries'!$F:$F,"&gt;="&amp;$D34,'Time Entries'!$F:$F,"&lt;="&amp;$E34,'Time Entries'!$P:$P,"&lt;&gt;Draft",'Time Entries'!$P:$P,"&lt;&gt;Rejected")</f>
        <v/>
      </c>
      <c r="K34" s="20">
        <f>SUMIFS('Time Entries'!$N:$N,'Time Entries'!$B:$B,$B34,'Time Entries'!$F:$F,"&gt;="&amp;$D34,'Time Entries'!$F:$F,"&lt;="&amp;$E34,'Time Entries'!$P:$P,"&lt;&gt;Draft",'Time Entries'!$P:$P,"&lt;&gt;Rejected")</f>
        <v/>
      </c>
      <c r="L34" s="20">
        <f>I34+J34-K34</f>
        <v/>
      </c>
      <c r="M34" s="21" t="n"/>
      <c r="N34" s="21" t="n"/>
    </row>
    <row r="35">
      <c r="C35">
        <f>IFERROR(VLOOKUP(B35,Workers!$A:$H,2,FALSE),"")</f>
        <v/>
      </c>
      <c r="D35" s="17" t="n"/>
      <c r="E35" s="17" t="n"/>
      <c r="H35" s="19">
        <f>SUMIFS('Time Entries'!$J:$J,'Time Entries'!$B:$B,$B35,'Time Entries'!$F:$F,"&gt;="&amp;$D35,'Time Entries'!$F:$F,"&lt;="&amp;$E35,'Time Entries'!$P:$P,"&lt;&gt;Draft",'Time Entries'!$P:$P,"&lt;&gt;Rejected")</f>
        <v/>
      </c>
      <c r="I35" s="20">
        <f>SUMIFS('Time Entries'!$L:$L,'Time Entries'!$B:$B,$B35,'Time Entries'!$F:$F,"&gt;="&amp;$D35,'Time Entries'!$F:$F,"&lt;="&amp;$E35,'Time Entries'!$P:$P,"&lt;&gt;Draft",'Time Entries'!$P:$P,"&lt;&gt;Rejected")</f>
        <v/>
      </c>
      <c r="J35" s="20">
        <f>SUMIFS('Time Entries'!$M:$M,'Time Entries'!$B:$B,$B35,'Time Entries'!$F:$F,"&gt;="&amp;$D35,'Time Entries'!$F:$F,"&lt;="&amp;$E35,'Time Entries'!$P:$P,"&lt;&gt;Draft",'Time Entries'!$P:$P,"&lt;&gt;Rejected")</f>
        <v/>
      </c>
      <c r="K35" s="20">
        <f>SUMIFS('Time Entries'!$N:$N,'Time Entries'!$B:$B,$B35,'Time Entries'!$F:$F,"&gt;="&amp;$D35,'Time Entries'!$F:$F,"&lt;="&amp;$E35,'Time Entries'!$P:$P,"&lt;&gt;Draft",'Time Entries'!$P:$P,"&lt;&gt;Rejected")</f>
        <v/>
      </c>
      <c r="L35" s="20">
        <f>I35+J35-K35</f>
        <v/>
      </c>
      <c r="M35" s="21" t="n"/>
      <c r="N35" s="21" t="n"/>
    </row>
    <row r="36">
      <c r="C36">
        <f>IFERROR(VLOOKUP(B36,Workers!$A:$H,2,FALSE),"")</f>
        <v/>
      </c>
      <c r="D36" s="17" t="n"/>
      <c r="E36" s="17" t="n"/>
      <c r="H36" s="19">
        <f>SUMIFS('Time Entries'!$J:$J,'Time Entries'!$B:$B,$B36,'Time Entries'!$F:$F,"&gt;="&amp;$D36,'Time Entries'!$F:$F,"&lt;="&amp;$E36,'Time Entries'!$P:$P,"&lt;&gt;Draft",'Time Entries'!$P:$P,"&lt;&gt;Rejected")</f>
        <v/>
      </c>
      <c r="I36" s="20">
        <f>SUMIFS('Time Entries'!$L:$L,'Time Entries'!$B:$B,$B36,'Time Entries'!$F:$F,"&gt;="&amp;$D36,'Time Entries'!$F:$F,"&lt;="&amp;$E36,'Time Entries'!$P:$P,"&lt;&gt;Draft",'Time Entries'!$P:$P,"&lt;&gt;Rejected")</f>
        <v/>
      </c>
      <c r="J36" s="20">
        <f>SUMIFS('Time Entries'!$M:$M,'Time Entries'!$B:$B,$B36,'Time Entries'!$F:$F,"&gt;="&amp;$D36,'Time Entries'!$F:$F,"&lt;="&amp;$E36,'Time Entries'!$P:$P,"&lt;&gt;Draft",'Time Entries'!$P:$P,"&lt;&gt;Rejected")</f>
        <v/>
      </c>
      <c r="K36" s="20">
        <f>SUMIFS('Time Entries'!$N:$N,'Time Entries'!$B:$B,$B36,'Time Entries'!$F:$F,"&gt;="&amp;$D36,'Time Entries'!$F:$F,"&lt;="&amp;$E36,'Time Entries'!$P:$P,"&lt;&gt;Draft",'Time Entries'!$P:$P,"&lt;&gt;Rejected")</f>
        <v/>
      </c>
      <c r="L36" s="20">
        <f>I36+J36-K36</f>
        <v/>
      </c>
      <c r="M36" s="21" t="n"/>
      <c r="N36" s="21" t="n"/>
    </row>
    <row r="37">
      <c r="C37">
        <f>IFERROR(VLOOKUP(B37,Workers!$A:$H,2,FALSE),"")</f>
        <v/>
      </c>
      <c r="D37" s="17" t="n"/>
      <c r="E37" s="17" t="n"/>
      <c r="H37" s="19">
        <f>SUMIFS('Time Entries'!$J:$J,'Time Entries'!$B:$B,$B37,'Time Entries'!$F:$F,"&gt;="&amp;$D37,'Time Entries'!$F:$F,"&lt;="&amp;$E37,'Time Entries'!$P:$P,"&lt;&gt;Draft",'Time Entries'!$P:$P,"&lt;&gt;Rejected")</f>
        <v/>
      </c>
      <c r="I37" s="20">
        <f>SUMIFS('Time Entries'!$L:$L,'Time Entries'!$B:$B,$B37,'Time Entries'!$F:$F,"&gt;="&amp;$D37,'Time Entries'!$F:$F,"&lt;="&amp;$E37,'Time Entries'!$P:$P,"&lt;&gt;Draft",'Time Entries'!$P:$P,"&lt;&gt;Rejected")</f>
        <v/>
      </c>
      <c r="J37" s="20">
        <f>SUMIFS('Time Entries'!$M:$M,'Time Entries'!$B:$B,$B37,'Time Entries'!$F:$F,"&gt;="&amp;$D37,'Time Entries'!$F:$F,"&lt;="&amp;$E37,'Time Entries'!$P:$P,"&lt;&gt;Draft",'Time Entries'!$P:$P,"&lt;&gt;Rejected")</f>
        <v/>
      </c>
      <c r="K37" s="20">
        <f>SUMIFS('Time Entries'!$N:$N,'Time Entries'!$B:$B,$B37,'Time Entries'!$F:$F,"&gt;="&amp;$D37,'Time Entries'!$F:$F,"&lt;="&amp;$E37,'Time Entries'!$P:$P,"&lt;&gt;Draft",'Time Entries'!$P:$P,"&lt;&gt;Rejected")</f>
        <v/>
      </c>
      <c r="L37" s="20">
        <f>I37+J37-K37</f>
        <v/>
      </c>
      <c r="M37" s="21" t="n"/>
      <c r="N37" s="21" t="n"/>
    </row>
    <row r="38">
      <c r="C38">
        <f>IFERROR(VLOOKUP(B38,Workers!$A:$H,2,FALSE),"")</f>
        <v/>
      </c>
      <c r="D38" s="17" t="n"/>
      <c r="E38" s="17" t="n"/>
      <c r="H38" s="19">
        <f>SUMIFS('Time Entries'!$J:$J,'Time Entries'!$B:$B,$B38,'Time Entries'!$F:$F,"&gt;="&amp;$D38,'Time Entries'!$F:$F,"&lt;="&amp;$E38,'Time Entries'!$P:$P,"&lt;&gt;Draft",'Time Entries'!$P:$P,"&lt;&gt;Rejected")</f>
        <v/>
      </c>
      <c r="I38" s="20">
        <f>SUMIFS('Time Entries'!$L:$L,'Time Entries'!$B:$B,$B38,'Time Entries'!$F:$F,"&gt;="&amp;$D38,'Time Entries'!$F:$F,"&lt;="&amp;$E38,'Time Entries'!$P:$P,"&lt;&gt;Draft",'Time Entries'!$P:$P,"&lt;&gt;Rejected")</f>
        <v/>
      </c>
      <c r="J38" s="20">
        <f>SUMIFS('Time Entries'!$M:$M,'Time Entries'!$B:$B,$B38,'Time Entries'!$F:$F,"&gt;="&amp;$D38,'Time Entries'!$F:$F,"&lt;="&amp;$E38,'Time Entries'!$P:$P,"&lt;&gt;Draft",'Time Entries'!$P:$P,"&lt;&gt;Rejected")</f>
        <v/>
      </c>
      <c r="K38" s="20">
        <f>SUMIFS('Time Entries'!$N:$N,'Time Entries'!$B:$B,$B38,'Time Entries'!$F:$F,"&gt;="&amp;$D38,'Time Entries'!$F:$F,"&lt;="&amp;$E38,'Time Entries'!$P:$P,"&lt;&gt;Draft",'Time Entries'!$P:$P,"&lt;&gt;Rejected")</f>
        <v/>
      </c>
      <c r="L38" s="20">
        <f>I38+J38-K38</f>
        <v/>
      </c>
      <c r="M38" s="21" t="n"/>
      <c r="N38" s="21" t="n"/>
    </row>
    <row r="39">
      <c r="C39">
        <f>IFERROR(VLOOKUP(B39,Workers!$A:$H,2,FALSE),"")</f>
        <v/>
      </c>
      <c r="D39" s="17" t="n"/>
      <c r="E39" s="17" t="n"/>
      <c r="H39" s="19">
        <f>SUMIFS('Time Entries'!$J:$J,'Time Entries'!$B:$B,$B39,'Time Entries'!$F:$F,"&gt;="&amp;$D39,'Time Entries'!$F:$F,"&lt;="&amp;$E39,'Time Entries'!$P:$P,"&lt;&gt;Draft",'Time Entries'!$P:$P,"&lt;&gt;Rejected")</f>
        <v/>
      </c>
      <c r="I39" s="20">
        <f>SUMIFS('Time Entries'!$L:$L,'Time Entries'!$B:$B,$B39,'Time Entries'!$F:$F,"&gt;="&amp;$D39,'Time Entries'!$F:$F,"&lt;="&amp;$E39,'Time Entries'!$P:$P,"&lt;&gt;Draft",'Time Entries'!$P:$P,"&lt;&gt;Rejected")</f>
        <v/>
      </c>
      <c r="J39" s="20">
        <f>SUMIFS('Time Entries'!$M:$M,'Time Entries'!$B:$B,$B39,'Time Entries'!$F:$F,"&gt;="&amp;$D39,'Time Entries'!$F:$F,"&lt;="&amp;$E39,'Time Entries'!$P:$P,"&lt;&gt;Draft",'Time Entries'!$P:$P,"&lt;&gt;Rejected")</f>
        <v/>
      </c>
      <c r="K39" s="20">
        <f>SUMIFS('Time Entries'!$N:$N,'Time Entries'!$B:$B,$B39,'Time Entries'!$F:$F,"&gt;="&amp;$D39,'Time Entries'!$F:$F,"&lt;="&amp;$E39,'Time Entries'!$P:$P,"&lt;&gt;Draft",'Time Entries'!$P:$P,"&lt;&gt;Rejected")</f>
        <v/>
      </c>
      <c r="L39" s="20">
        <f>I39+J39-K39</f>
        <v/>
      </c>
      <c r="M39" s="21" t="n"/>
      <c r="N39" s="21" t="n"/>
    </row>
    <row r="40">
      <c r="C40">
        <f>IFERROR(VLOOKUP(B40,Workers!$A:$H,2,FALSE),"")</f>
        <v/>
      </c>
      <c r="D40" s="17" t="n"/>
      <c r="E40" s="17" t="n"/>
      <c r="H40" s="19">
        <f>SUMIFS('Time Entries'!$J:$J,'Time Entries'!$B:$B,$B40,'Time Entries'!$F:$F,"&gt;="&amp;$D40,'Time Entries'!$F:$F,"&lt;="&amp;$E40,'Time Entries'!$P:$P,"&lt;&gt;Draft",'Time Entries'!$P:$P,"&lt;&gt;Rejected")</f>
        <v/>
      </c>
      <c r="I40" s="20">
        <f>SUMIFS('Time Entries'!$L:$L,'Time Entries'!$B:$B,$B40,'Time Entries'!$F:$F,"&gt;="&amp;$D40,'Time Entries'!$F:$F,"&lt;="&amp;$E40,'Time Entries'!$P:$P,"&lt;&gt;Draft",'Time Entries'!$P:$P,"&lt;&gt;Rejected")</f>
        <v/>
      </c>
      <c r="J40" s="20">
        <f>SUMIFS('Time Entries'!$M:$M,'Time Entries'!$B:$B,$B40,'Time Entries'!$F:$F,"&gt;="&amp;$D40,'Time Entries'!$F:$F,"&lt;="&amp;$E40,'Time Entries'!$P:$P,"&lt;&gt;Draft",'Time Entries'!$P:$P,"&lt;&gt;Rejected")</f>
        <v/>
      </c>
      <c r="K40" s="20">
        <f>SUMIFS('Time Entries'!$N:$N,'Time Entries'!$B:$B,$B40,'Time Entries'!$F:$F,"&gt;="&amp;$D40,'Time Entries'!$F:$F,"&lt;="&amp;$E40,'Time Entries'!$P:$P,"&lt;&gt;Draft",'Time Entries'!$P:$P,"&lt;&gt;Rejected")</f>
        <v/>
      </c>
      <c r="L40" s="20">
        <f>I40+J40-K40</f>
        <v/>
      </c>
      <c r="M40" s="21" t="n"/>
      <c r="N40" s="21" t="n"/>
    </row>
    <row r="41">
      <c r="C41">
        <f>IFERROR(VLOOKUP(B41,Workers!$A:$H,2,FALSE),"")</f>
        <v/>
      </c>
      <c r="D41" s="17" t="n"/>
      <c r="E41" s="17" t="n"/>
      <c r="H41" s="19">
        <f>SUMIFS('Time Entries'!$J:$J,'Time Entries'!$B:$B,$B41,'Time Entries'!$F:$F,"&gt;="&amp;$D41,'Time Entries'!$F:$F,"&lt;="&amp;$E41,'Time Entries'!$P:$P,"&lt;&gt;Draft",'Time Entries'!$P:$P,"&lt;&gt;Rejected")</f>
        <v/>
      </c>
      <c r="I41" s="20">
        <f>SUMIFS('Time Entries'!$L:$L,'Time Entries'!$B:$B,$B41,'Time Entries'!$F:$F,"&gt;="&amp;$D41,'Time Entries'!$F:$F,"&lt;="&amp;$E41,'Time Entries'!$P:$P,"&lt;&gt;Draft",'Time Entries'!$P:$P,"&lt;&gt;Rejected")</f>
        <v/>
      </c>
      <c r="J41" s="20">
        <f>SUMIFS('Time Entries'!$M:$M,'Time Entries'!$B:$B,$B41,'Time Entries'!$F:$F,"&gt;="&amp;$D41,'Time Entries'!$F:$F,"&lt;="&amp;$E41,'Time Entries'!$P:$P,"&lt;&gt;Draft",'Time Entries'!$P:$P,"&lt;&gt;Rejected")</f>
        <v/>
      </c>
      <c r="K41" s="20">
        <f>SUMIFS('Time Entries'!$N:$N,'Time Entries'!$B:$B,$B41,'Time Entries'!$F:$F,"&gt;="&amp;$D41,'Time Entries'!$F:$F,"&lt;="&amp;$E41,'Time Entries'!$P:$P,"&lt;&gt;Draft",'Time Entries'!$P:$P,"&lt;&gt;Rejected")</f>
        <v/>
      </c>
      <c r="L41" s="20">
        <f>I41+J41-K41</f>
        <v/>
      </c>
      <c r="M41" s="21" t="n"/>
      <c r="N41" s="21" t="n"/>
    </row>
    <row r="42">
      <c r="C42">
        <f>IFERROR(VLOOKUP(B42,Workers!$A:$H,2,FALSE),"")</f>
        <v/>
      </c>
      <c r="D42" s="17" t="n"/>
      <c r="E42" s="17" t="n"/>
      <c r="H42" s="19">
        <f>SUMIFS('Time Entries'!$J:$J,'Time Entries'!$B:$B,$B42,'Time Entries'!$F:$F,"&gt;="&amp;$D42,'Time Entries'!$F:$F,"&lt;="&amp;$E42,'Time Entries'!$P:$P,"&lt;&gt;Draft",'Time Entries'!$P:$P,"&lt;&gt;Rejected")</f>
        <v/>
      </c>
      <c r="I42" s="20">
        <f>SUMIFS('Time Entries'!$L:$L,'Time Entries'!$B:$B,$B42,'Time Entries'!$F:$F,"&gt;="&amp;$D42,'Time Entries'!$F:$F,"&lt;="&amp;$E42,'Time Entries'!$P:$P,"&lt;&gt;Draft",'Time Entries'!$P:$P,"&lt;&gt;Rejected")</f>
        <v/>
      </c>
      <c r="J42" s="20">
        <f>SUMIFS('Time Entries'!$M:$M,'Time Entries'!$B:$B,$B42,'Time Entries'!$F:$F,"&gt;="&amp;$D42,'Time Entries'!$F:$F,"&lt;="&amp;$E42,'Time Entries'!$P:$P,"&lt;&gt;Draft",'Time Entries'!$P:$P,"&lt;&gt;Rejected")</f>
        <v/>
      </c>
      <c r="K42" s="20">
        <f>SUMIFS('Time Entries'!$N:$N,'Time Entries'!$B:$B,$B42,'Time Entries'!$F:$F,"&gt;="&amp;$D42,'Time Entries'!$F:$F,"&lt;="&amp;$E42,'Time Entries'!$P:$P,"&lt;&gt;Draft",'Time Entries'!$P:$P,"&lt;&gt;Rejected")</f>
        <v/>
      </c>
      <c r="L42" s="20">
        <f>I42+J42-K42</f>
        <v/>
      </c>
      <c r="M42" s="21" t="n"/>
      <c r="N42" s="21" t="n"/>
    </row>
    <row r="43">
      <c r="C43">
        <f>IFERROR(VLOOKUP(B43,Workers!$A:$H,2,FALSE),"")</f>
        <v/>
      </c>
      <c r="D43" s="17" t="n"/>
      <c r="E43" s="17" t="n"/>
      <c r="H43" s="19">
        <f>SUMIFS('Time Entries'!$J:$J,'Time Entries'!$B:$B,$B43,'Time Entries'!$F:$F,"&gt;="&amp;$D43,'Time Entries'!$F:$F,"&lt;="&amp;$E43,'Time Entries'!$P:$P,"&lt;&gt;Draft",'Time Entries'!$P:$P,"&lt;&gt;Rejected")</f>
        <v/>
      </c>
      <c r="I43" s="20">
        <f>SUMIFS('Time Entries'!$L:$L,'Time Entries'!$B:$B,$B43,'Time Entries'!$F:$F,"&gt;="&amp;$D43,'Time Entries'!$F:$F,"&lt;="&amp;$E43,'Time Entries'!$P:$P,"&lt;&gt;Draft",'Time Entries'!$P:$P,"&lt;&gt;Rejected")</f>
        <v/>
      </c>
      <c r="J43" s="20">
        <f>SUMIFS('Time Entries'!$M:$M,'Time Entries'!$B:$B,$B43,'Time Entries'!$F:$F,"&gt;="&amp;$D43,'Time Entries'!$F:$F,"&lt;="&amp;$E43,'Time Entries'!$P:$P,"&lt;&gt;Draft",'Time Entries'!$P:$P,"&lt;&gt;Rejected")</f>
        <v/>
      </c>
      <c r="K43" s="20">
        <f>SUMIFS('Time Entries'!$N:$N,'Time Entries'!$B:$B,$B43,'Time Entries'!$F:$F,"&gt;="&amp;$D43,'Time Entries'!$F:$F,"&lt;="&amp;$E43,'Time Entries'!$P:$P,"&lt;&gt;Draft",'Time Entries'!$P:$P,"&lt;&gt;Rejected")</f>
        <v/>
      </c>
      <c r="L43" s="20">
        <f>I43+J43-K43</f>
        <v/>
      </c>
      <c r="M43" s="21" t="n"/>
      <c r="N43" s="21" t="n"/>
    </row>
    <row r="44">
      <c r="C44">
        <f>IFERROR(VLOOKUP(B44,Workers!$A:$H,2,FALSE),"")</f>
        <v/>
      </c>
      <c r="D44" s="17" t="n"/>
      <c r="E44" s="17" t="n"/>
      <c r="H44" s="19">
        <f>SUMIFS('Time Entries'!$J:$J,'Time Entries'!$B:$B,$B44,'Time Entries'!$F:$F,"&gt;="&amp;$D44,'Time Entries'!$F:$F,"&lt;="&amp;$E44,'Time Entries'!$P:$P,"&lt;&gt;Draft",'Time Entries'!$P:$P,"&lt;&gt;Rejected")</f>
        <v/>
      </c>
      <c r="I44" s="20">
        <f>SUMIFS('Time Entries'!$L:$L,'Time Entries'!$B:$B,$B44,'Time Entries'!$F:$F,"&gt;="&amp;$D44,'Time Entries'!$F:$F,"&lt;="&amp;$E44,'Time Entries'!$P:$P,"&lt;&gt;Draft",'Time Entries'!$P:$P,"&lt;&gt;Rejected")</f>
        <v/>
      </c>
      <c r="J44" s="20">
        <f>SUMIFS('Time Entries'!$M:$M,'Time Entries'!$B:$B,$B44,'Time Entries'!$F:$F,"&gt;="&amp;$D44,'Time Entries'!$F:$F,"&lt;="&amp;$E44,'Time Entries'!$P:$P,"&lt;&gt;Draft",'Time Entries'!$P:$P,"&lt;&gt;Rejected")</f>
        <v/>
      </c>
      <c r="K44" s="20">
        <f>SUMIFS('Time Entries'!$N:$N,'Time Entries'!$B:$B,$B44,'Time Entries'!$F:$F,"&gt;="&amp;$D44,'Time Entries'!$F:$F,"&lt;="&amp;$E44,'Time Entries'!$P:$P,"&lt;&gt;Draft",'Time Entries'!$P:$P,"&lt;&gt;Rejected")</f>
        <v/>
      </c>
      <c r="L44" s="20">
        <f>I44+J44-K44</f>
        <v/>
      </c>
      <c r="M44" s="21" t="n"/>
      <c r="N44" s="21" t="n"/>
    </row>
    <row r="45">
      <c r="C45">
        <f>IFERROR(VLOOKUP(B45,Workers!$A:$H,2,FALSE),"")</f>
        <v/>
      </c>
      <c r="D45" s="17" t="n"/>
      <c r="E45" s="17" t="n"/>
      <c r="H45" s="19">
        <f>SUMIFS('Time Entries'!$J:$J,'Time Entries'!$B:$B,$B45,'Time Entries'!$F:$F,"&gt;="&amp;$D45,'Time Entries'!$F:$F,"&lt;="&amp;$E45,'Time Entries'!$P:$P,"&lt;&gt;Draft",'Time Entries'!$P:$P,"&lt;&gt;Rejected")</f>
        <v/>
      </c>
      <c r="I45" s="20">
        <f>SUMIFS('Time Entries'!$L:$L,'Time Entries'!$B:$B,$B45,'Time Entries'!$F:$F,"&gt;="&amp;$D45,'Time Entries'!$F:$F,"&lt;="&amp;$E45,'Time Entries'!$P:$P,"&lt;&gt;Draft",'Time Entries'!$P:$P,"&lt;&gt;Rejected")</f>
        <v/>
      </c>
      <c r="J45" s="20">
        <f>SUMIFS('Time Entries'!$M:$M,'Time Entries'!$B:$B,$B45,'Time Entries'!$F:$F,"&gt;="&amp;$D45,'Time Entries'!$F:$F,"&lt;="&amp;$E45,'Time Entries'!$P:$P,"&lt;&gt;Draft",'Time Entries'!$P:$P,"&lt;&gt;Rejected")</f>
        <v/>
      </c>
      <c r="K45" s="20">
        <f>SUMIFS('Time Entries'!$N:$N,'Time Entries'!$B:$B,$B45,'Time Entries'!$F:$F,"&gt;="&amp;$D45,'Time Entries'!$F:$F,"&lt;="&amp;$E45,'Time Entries'!$P:$P,"&lt;&gt;Draft",'Time Entries'!$P:$P,"&lt;&gt;Rejected")</f>
        <v/>
      </c>
      <c r="L45" s="20">
        <f>I45+J45-K45</f>
        <v/>
      </c>
      <c r="M45" s="21" t="n"/>
      <c r="N45" s="21" t="n"/>
    </row>
    <row r="46">
      <c r="C46">
        <f>IFERROR(VLOOKUP(B46,Workers!$A:$H,2,FALSE),"")</f>
        <v/>
      </c>
      <c r="D46" s="17" t="n"/>
      <c r="E46" s="17" t="n"/>
      <c r="H46" s="19">
        <f>SUMIFS('Time Entries'!$J:$J,'Time Entries'!$B:$B,$B46,'Time Entries'!$F:$F,"&gt;="&amp;$D46,'Time Entries'!$F:$F,"&lt;="&amp;$E46,'Time Entries'!$P:$P,"&lt;&gt;Draft",'Time Entries'!$P:$P,"&lt;&gt;Rejected")</f>
        <v/>
      </c>
      <c r="I46" s="20">
        <f>SUMIFS('Time Entries'!$L:$L,'Time Entries'!$B:$B,$B46,'Time Entries'!$F:$F,"&gt;="&amp;$D46,'Time Entries'!$F:$F,"&lt;="&amp;$E46,'Time Entries'!$P:$P,"&lt;&gt;Draft",'Time Entries'!$P:$P,"&lt;&gt;Rejected")</f>
        <v/>
      </c>
      <c r="J46" s="20">
        <f>SUMIFS('Time Entries'!$M:$M,'Time Entries'!$B:$B,$B46,'Time Entries'!$F:$F,"&gt;="&amp;$D46,'Time Entries'!$F:$F,"&lt;="&amp;$E46,'Time Entries'!$P:$P,"&lt;&gt;Draft",'Time Entries'!$P:$P,"&lt;&gt;Rejected")</f>
        <v/>
      </c>
      <c r="K46" s="20">
        <f>SUMIFS('Time Entries'!$N:$N,'Time Entries'!$B:$B,$B46,'Time Entries'!$F:$F,"&gt;="&amp;$D46,'Time Entries'!$F:$F,"&lt;="&amp;$E46,'Time Entries'!$P:$P,"&lt;&gt;Draft",'Time Entries'!$P:$P,"&lt;&gt;Rejected")</f>
        <v/>
      </c>
      <c r="L46" s="20">
        <f>I46+J46-K46</f>
        <v/>
      </c>
      <c r="M46" s="21" t="n"/>
      <c r="N46" s="21" t="n"/>
    </row>
    <row r="47">
      <c r="C47">
        <f>IFERROR(VLOOKUP(B47,Workers!$A:$H,2,FALSE),"")</f>
        <v/>
      </c>
      <c r="D47" s="17" t="n"/>
      <c r="E47" s="17" t="n"/>
      <c r="H47" s="19">
        <f>SUMIFS('Time Entries'!$J:$J,'Time Entries'!$B:$B,$B47,'Time Entries'!$F:$F,"&gt;="&amp;$D47,'Time Entries'!$F:$F,"&lt;="&amp;$E47,'Time Entries'!$P:$P,"&lt;&gt;Draft",'Time Entries'!$P:$P,"&lt;&gt;Rejected")</f>
        <v/>
      </c>
      <c r="I47" s="20">
        <f>SUMIFS('Time Entries'!$L:$L,'Time Entries'!$B:$B,$B47,'Time Entries'!$F:$F,"&gt;="&amp;$D47,'Time Entries'!$F:$F,"&lt;="&amp;$E47,'Time Entries'!$P:$P,"&lt;&gt;Draft",'Time Entries'!$P:$P,"&lt;&gt;Rejected")</f>
        <v/>
      </c>
      <c r="J47" s="20">
        <f>SUMIFS('Time Entries'!$M:$M,'Time Entries'!$B:$B,$B47,'Time Entries'!$F:$F,"&gt;="&amp;$D47,'Time Entries'!$F:$F,"&lt;="&amp;$E47,'Time Entries'!$P:$P,"&lt;&gt;Draft",'Time Entries'!$P:$P,"&lt;&gt;Rejected")</f>
        <v/>
      </c>
      <c r="K47" s="20">
        <f>SUMIFS('Time Entries'!$N:$N,'Time Entries'!$B:$B,$B47,'Time Entries'!$F:$F,"&gt;="&amp;$D47,'Time Entries'!$F:$F,"&lt;="&amp;$E47,'Time Entries'!$P:$P,"&lt;&gt;Draft",'Time Entries'!$P:$P,"&lt;&gt;Rejected")</f>
        <v/>
      </c>
      <c r="L47" s="20">
        <f>I47+J47-K47</f>
        <v/>
      </c>
      <c r="M47" s="21" t="n"/>
      <c r="N47" s="21" t="n"/>
    </row>
    <row r="48">
      <c r="C48">
        <f>IFERROR(VLOOKUP(B48,Workers!$A:$H,2,FALSE),"")</f>
        <v/>
      </c>
      <c r="D48" s="17" t="n"/>
      <c r="E48" s="17" t="n"/>
      <c r="H48" s="19">
        <f>SUMIFS('Time Entries'!$J:$J,'Time Entries'!$B:$B,$B48,'Time Entries'!$F:$F,"&gt;="&amp;$D48,'Time Entries'!$F:$F,"&lt;="&amp;$E48,'Time Entries'!$P:$P,"&lt;&gt;Draft",'Time Entries'!$P:$P,"&lt;&gt;Rejected")</f>
        <v/>
      </c>
      <c r="I48" s="20">
        <f>SUMIFS('Time Entries'!$L:$L,'Time Entries'!$B:$B,$B48,'Time Entries'!$F:$F,"&gt;="&amp;$D48,'Time Entries'!$F:$F,"&lt;="&amp;$E48,'Time Entries'!$P:$P,"&lt;&gt;Draft",'Time Entries'!$P:$P,"&lt;&gt;Rejected")</f>
        <v/>
      </c>
      <c r="J48" s="20">
        <f>SUMIFS('Time Entries'!$M:$M,'Time Entries'!$B:$B,$B48,'Time Entries'!$F:$F,"&gt;="&amp;$D48,'Time Entries'!$F:$F,"&lt;="&amp;$E48,'Time Entries'!$P:$P,"&lt;&gt;Draft",'Time Entries'!$P:$P,"&lt;&gt;Rejected")</f>
        <v/>
      </c>
      <c r="K48" s="20">
        <f>SUMIFS('Time Entries'!$N:$N,'Time Entries'!$B:$B,$B48,'Time Entries'!$F:$F,"&gt;="&amp;$D48,'Time Entries'!$F:$F,"&lt;="&amp;$E48,'Time Entries'!$P:$P,"&lt;&gt;Draft",'Time Entries'!$P:$P,"&lt;&gt;Rejected")</f>
        <v/>
      </c>
      <c r="L48" s="20">
        <f>I48+J48-K48</f>
        <v/>
      </c>
      <c r="M48" s="21" t="n"/>
      <c r="N48" s="21" t="n"/>
    </row>
    <row r="49">
      <c r="C49">
        <f>IFERROR(VLOOKUP(B49,Workers!$A:$H,2,FALSE),"")</f>
        <v/>
      </c>
      <c r="D49" s="17" t="n"/>
      <c r="E49" s="17" t="n"/>
      <c r="H49" s="19">
        <f>SUMIFS('Time Entries'!$J:$J,'Time Entries'!$B:$B,$B49,'Time Entries'!$F:$F,"&gt;="&amp;$D49,'Time Entries'!$F:$F,"&lt;="&amp;$E49,'Time Entries'!$P:$P,"&lt;&gt;Draft",'Time Entries'!$P:$P,"&lt;&gt;Rejected")</f>
        <v/>
      </c>
      <c r="I49" s="20">
        <f>SUMIFS('Time Entries'!$L:$L,'Time Entries'!$B:$B,$B49,'Time Entries'!$F:$F,"&gt;="&amp;$D49,'Time Entries'!$F:$F,"&lt;="&amp;$E49,'Time Entries'!$P:$P,"&lt;&gt;Draft",'Time Entries'!$P:$P,"&lt;&gt;Rejected")</f>
        <v/>
      </c>
      <c r="J49" s="20">
        <f>SUMIFS('Time Entries'!$M:$M,'Time Entries'!$B:$B,$B49,'Time Entries'!$F:$F,"&gt;="&amp;$D49,'Time Entries'!$F:$F,"&lt;="&amp;$E49,'Time Entries'!$P:$P,"&lt;&gt;Draft",'Time Entries'!$P:$P,"&lt;&gt;Rejected")</f>
        <v/>
      </c>
      <c r="K49" s="20">
        <f>SUMIFS('Time Entries'!$N:$N,'Time Entries'!$B:$B,$B49,'Time Entries'!$F:$F,"&gt;="&amp;$D49,'Time Entries'!$F:$F,"&lt;="&amp;$E49,'Time Entries'!$P:$P,"&lt;&gt;Draft",'Time Entries'!$P:$P,"&lt;&gt;Rejected")</f>
        <v/>
      </c>
      <c r="L49" s="20">
        <f>I49+J49-K49</f>
        <v/>
      </c>
      <c r="M49" s="21" t="n"/>
      <c r="N49" s="21" t="n"/>
    </row>
    <row r="50">
      <c r="C50">
        <f>IFERROR(VLOOKUP(B50,Workers!$A:$H,2,FALSE),"")</f>
        <v/>
      </c>
      <c r="D50" s="17" t="n"/>
      <c r="E50" s="17" t="n"/>
      <c r="H50" s="19">
        <f>SUMIFS('Time Entries'!$J:$J,'Time Entries'!$B:$B,$B50,'Time Entries'!$F:$F,"&gt;="&amp;$D50,'Time Entries'!$F:$F,"&lt;="&amp;$E50,'Time Entries'!$P:$P,"&lt;&gt;Draft",'Time Entries'!$P:$P,"&lt;&gt;Rejected")</f>
        <v/>
      </c>
      <c r="I50" s="20">
        <f>SUMIFS('Time Entries'!$L:$L,'Time Entries'!$B:$B,$B50,'Time Entries'!$F:$F,"&gt;="&amp;$D50,'Time Entries'!$F:$F,"&lt;="&amp;$E50,'Time Entries'!$P:$P,"&lt;&gt;Draft",'Time Entries'!$P:$P,"&lt;&gt;Rejected")</f>
        <v/>
      </c>
      <c r="J50" s="20">
        <f>SUMIFS('Time Entries'!$M:$M,'Time Entries'!$B:$B,$B50,'Time Entries'!$F:$F,"&gt;="&amp;$D50,'Time Entries'!$F:$F,"&lt;="&amp;$E50,'Time Entries'!$P:$P,"&lt;&gt;Draft",'Time Entries'!$P:$P,"&lt;&gt;Rejected")</f>
        <v/>
      </c>
      <c r="K50" s="20">
        <f>SUMIFS('Time Entries'!$N:$N,'Time Entries'!$B:$B,$B50,'Time Entries'!$F:$F,"&gt;="&amp;$D50,'Time Entries'!$F:$F,"&lt;="&amp;$E50,'Time Entries'!$P:$P,"&lt;&gt;Draft",'Time Entries'!$P:$P,"&lt;&gt;Rejected")</f>
        <v/>
      </c>
      <c r="L50" s="20">
        <f>I50+J50-K50</f>
        <v/>
      </c>
      <c r="M50" s="21" t="n"/>
      <c r="N50" s="21" t="n"/>
    </row>
    <row r="51">
      <c r="C51">
        <f>IFERROR(VLOOKUP(B51,Workers!$A:$H,2,FALSE),"")</f>
        <v/>
      </c>
      <c r="D51" s="17" t="n"/>
      <c r="E51" s="17" t="n"/>
      <c r="H51" s="19">
        <f>SUMIFS('Time Entries'!$J:$J,'Time Entries'!$B:$B,$B51,'Time Entries'!$F:$F,"&gt;="&amp;$D51,'Time Entries'!$F:$F,"&lt;="&amp;$E51,'Time Entries'!$P:$P,"&lt;&gt;Draft",'Time Entries'!$P:$P,"&lt;&gt;Rejected")</f>
        <v/>
      </c>
      <c r="I51" s="20">
        <f>SUMIFS('Time Entries'!$L:$L,'Time Entries'!$B:$B,$B51,'Time Entries'!$F:$F,"&gt;="&amp;$D51,'Time Entries'!$F:$F,"&lt;="&amp;$E51,'Time Entries'!$P:$P,"&lt;&gt;Draft",'Time Entries'!$P:$P,"&lt;&gt;Rejected")</f>
        <v/>
      </c>
      <c r="J51" s="20">
        <f>SUMIFS('Time Entries'!$M:$M,'Time Entries'!$B:$B,$B51,'Time Entries'!$F:$F,"&gt;="&amp;$D51,'Time Entries'!$F:$F,"&lt;="&amp;$E51,'Time Entries'!$P:$P,"&lt;&gt;Draft",'Time Entries'!$P:$P,"&lt;&gt;Rejected")</f>
        <v/>
      </c>
      <c r="K51" s="20">
        <f>SUMIFS('Time Entries'!$N:$N,'Time Entries'!$B:$B,$B51,'Time Entries'!$F:$F,"&gt;="&amp;$D51,'Time Entries'!$F:$F,"&lt;="&amp;$E51,'Time Entries'!$P:$P,"&lt;&gt;Draft",'Time Entries'!$P:$P,"&lt;&gt;Rejected")</f>
        <v/>
      </c>
      <c r="L51" s="20">
        <f>I51+J51-K51</f>
        <v/>
      </c>
      <c r="M51" s="21" t="n"/>
      <c r="N51" s="21" t="n"/>
    </row>
    <row r="52">
      <c r="C52">
        <f>IFERROR(VLOOKUP(B52,Workers!$A:$H,2,FALSE),"")</f>
        <v/>
      </c>
      <c r="D52" s="17" t="n"/>
      <c r="E52" s="17" t="n"/>
      <c r="H52" s="19">
        <f>SUMIFS('Time Entries'!$J:$J,'Time Entries'!$B:$B,$B52,'Time Entries'!$F:$F,"&gt;="&amp;$D52,'Time Entries'!$F:$F,"&lt;="&amp;$E52,'Time Entries'!$P:$P,"&lt;&gt;Draft",'Time Entries'!$P:$P,"&lt;&gt;Rejected")</f>
        <v/>
      </c>
      <c r="I52" s="20">
        <f>SUMIFS('Time Entries'!$L:$L,'Time Entries'!$B:$B,$B52,'Time Entries'!$F:$F,"&gt;="&amp;$D52,'Time Entries'!$F:$F,"&lt;="&amp;$E52,'Time Entries'!$P:$P,"&lt;&gt;Draft",'Time Entries'!$P:$P,"&lt;&gt;Rejected")</f>
        <v/>
      </c>
      <c r="J52" s="20">
        <f>SUMIFS('Time Entries'!$M:$M,'Time Entries'!$B:$B,$B52,'Time Entries'!$F:$F,"&gt;="&amp;$D52,'Time Entries'!$F:$F,"&lt;="&amp;$E52,'Time Entries'!$P:$P,"&lt;&gt;Draft",'Time Entries'!$P:$P,"&lt;&gt;Rejected")</f>
        <v/>
      </c>
      <c r="K52" s="20">
        <f>SUMIFS('Time Entries'!$N:$N,'Time Entries'!$B:$B,$B52,'Time Entries'!$F:$F,"&gt;="&amp;$D52,'Time Entries'!$F:$F,"&lt;="&amp;$E52,'Time Entries'!$P:$P,"&lt;&gt;Draft",'Time Entries'!$P:$P,"&lt;&gt;Rejected")</f>
        <v/>
      </c>
      <c r="L52" s="20">
        <f>I52+J52-K52</f>
        <v/>
      </c>
      <c r="M52" s="21" t="n"/>
      <c r="N52" s="21" t="n"/>
    </row>
    <row r="53">
      <c r="C53">
        <f>IFERROR(VLOOKUP(B53,Workers!$A:$H,2,FALSE),"")</f>
        <v/>
      </c>
      <c r="D53" s="17" t="n"/>
      <c r="E53" s="17" t="n"/>
      <c r="H53" s="19">
        <f>SUMIFS('Time Entries'!$J:$J,'Time Entries'!$B:$B,$B53,'Time Entries'!$F:$F,"&gt;="&amp;$D53,'Time Entries'!$F:$F,"&lt;="&amp;$E53,'Time Entries'!$P:$P,"&lt;&gt;Draft",'Time Entries'!$P:$P,"&lt;&gt;Rejected")</f>
        <v/>
      </c>
      <c r="I53" s="20">
        <f>SUMIFS('Time Entries'!$L:$L,'Time Entries'!$B:$B,$B53,'Time Entries'!$F:$F,"&gt;="&amp;$D53,'Time Entries'!$F:$F,"&lt;="&amp;$E53,'Time Entries'!$P:$P,"&lt;&gt;Draft",'Time Entries'!$P:$P,"&lt;&gt;Rejected")</f>
        <v/>
      </c>
      <c r="J53" s="20">
        <f>SUMIFS('Time Entries'!$M:$M,'Time Entries'!$B:$B,$B53,'Time Entries'!$F:$F,"&gt;="&amp;$D53,'Time Entries'!$F:$F,"&lt;="&amp;$E53,'Time Entries'!$P:$P,"&lt;&gt;Draft",'Time Entries'!$P:$P,"&lt;&gt;Rejected")</f>
        <v/>
      </c>
      <c r="K53" s="20">
        <f>SUMIFS('Time Entries'!$N:$N,'Time Entries'!$B:$B,$B53,'Time Entries'!$F:$F,"&gt;="&amp;$D53,'Time Entries'!$F:$F,"&lt;="&amp;$E53,'Time Entries'!$P:$P,"&lt;&gt;Draft",'Time Entries'!$P:$P,"&lt;&gt;Rejected")</f>
        <v/>
      </c>
      <c r="L53" s="20">
        <f>I53+J53-K53</f>
        <v/>
      </c>
      <c r="M53" s="21" t="n"/>
      <c r="N53" s="21" t="n"/>
    </row>
    <row r="54">
      <c r="C54">
        <f>IFERROR(VLOOKUP(B54,Workers!$A:$H,2,FALSE),"")</f>
        <v/>
      </c>
      <c r="D54" s="17" t="n"/>
      <c r="E54" s="17" t="n"/>
      <c r="H54" s="19">
        <f>SUMIFS('Time Entries'!$J:$J,'Time Entries'!$B:$B,$B54,'Time Entries'!$F:$F,"&gt;="&amp;$D54,'Time Entries'!$F:$F,"&lt;="&amp;$E54,'Time Entries'!$P:$P,"&lt;&gt;Draft",'Time Entries'!$P:$P,"&lt;&gt;Rejected")</f>
        <v/>
      </c>
      <c r="I54" s="20">
        <f>SUMIFS('Time Entries'!$L:$L,'Time Entries'!$B:$B,$B54,'Time Entries'!$F:$F,"&gt;="&amp;$D54,'Time Entries'!$F:$F,"&lt;="&amp;$E54,'Time Entries'!$P:$P,"&lt;&gt;Draft",'Time Entries'!$P:$P,"&lt;&gt;Rejected")</f>
        <v/>
      </c>
      <c r="J54" s="20">
        <f>SUMIFS('Time Entries'!$M:$M,'Time Entries'!$B:$B,$B54,'Time Entries'!$F:$F,"&gt;="&amp;$D54,'Time Entries'!$F:$F,"&lt;="&amp;$E54,'Time Entries'!$P:$P,"&lt;&gt;Draft",'Time Entries'!$P:$P,"&lt;&gt;Rejected")</f>
        <v/>
      </c>
      <c r="K54" s="20">
        <f>SUMIFS('Time Entries'!$N:$N,'Time Entries'!$B:$B,$B54,'Time Entries'!$F:$F,"&gt;="&amp;$D54,'Time Entries'!$F:$F,"&lt;="&amp;$E54,'Time Entries'!$P:$P,"&lt;&gt;Draft",'Time Entries'!$P:$P,"&lt;&gt;Rejected")</f>
        <v/>
      </c>
      <c r="L54" s="20">
        <f>I54+J54-K54</f>
        <v/>
      </c>
      <c r="M54" s="21" t="n"/>
      <c r="N54" s="21" t="n"/>
    </row>
    <row r="55">
      <c r="C55">
        <f>IFERROR(VLOOKUP(B55,Workers!$A:$H,2,FALSE),"")</f>
        <v/>
      </c>
      <c r="D55" s="17" t="n"/>
      <c r="E55" s="17" t="n"/>
      <c r="H55" s="19">
        <f>SUMIFS('Time Entries'!$J:$J,'Time Entries'!$B:$B,$B55,'Time Entries'!$F:$F,"&gt;="&amp;$D55,'Time Entries'!$F:$F,"&lt;="&amp;$E55,'Time Entries'!$P:$P,"&lt;&gt;Draft",'Time Entries'!$P:$P,"&lt;&gt;Rejected")</f>
        <v/>
      </c>
      <c r="I55" s="20">
        <f>SUMIFS('Time Entries'!$L:$L,'Time Entries'!$B:$B,$B55,'Time Entries'!$F:$F,"&gt;="&amp;$D55,'Time Entries'!$F:$F,"&lt;="&amp;$E55,'Time Entries'!$P:$P,"&lt;&gt;Draft",'Time Entries'!$P:$P,"&lt;&gt;Rejected")</f>
        <v/>
      </c>
      <c r="J55" s="20">
        <f>SUMIFS('Time Entries'!$M:$M,'Time Entries'!$B:$B,$B55,'Time Entries'!$F:$F,"&gt;="&amp;$D55,'Time Entries'!$F:$F,"&lt;="&amp;$E55,'Time Entries'!$P:$P,"&lt;&gt;Draft",'Time Entries'!$P:$P,"&lt;&gt;Rejected")</f>
        <v/>
      </c>
      <c r="K55" s="20">
        <f>SUMIFS('Time Entries'!$N:$N,'Time Entries'!$B:$B,$B55,'Time Entries'!$F:$F,"&gt;="&amp;$D55,'Time Entries'!$F:$F,"&lt;="&amp;$E55,'Time Entries'!$P:$P,"&lt;&gt;Draft",'Time Entries'!$P:$P,"&lt;&gt;Rejected")</f>
        <v/>
      </c>
      <c r="L55" s="20">
        <f>I55+J55-K55</f>
        <v/>
      </c>
      <c r="M55" s="21" t="n"/>
      <c r="N55" s="21" t="n"/>
    </row>
    <row r="56">
      <c r="C56">
        <f>IFERROR(VLOOKUP(B56,Workers!$A:$H,2,FALSE),"")</f>
        <v/>
      </c>
      <c r="D56" s="17" t="n"/>
      <c r="E56" s="17" t="n"/>
      <c r="H56" s="19">
        <f>SUMIFS('Time Entries'!$J:$J,'Time Entries'!$B:$B,$B56,'Time Entries'!$F:$F,"&gt;="&amp;$D56,'Time Entries'!$F:$F,"&lt;="&amp;$E56,'Time Entries'!$P:$P,"&lt;&gt;Draft",'Time Entries'!$P:$P,"&lt;&gt;Rejected")</f>
        <v/>
      </c>
      <c r="I56" s="20">
        <f>SUMIFS('Time Entries'!$L:$L,'Time Entries'!$B:$B,$B56,'Time Entries'!$F:$F,"&gt;="&amp;$D56,'Time Entries'!$F:$F,"&lt;="&amp;$E56,'Time Entries'!$P:$P,"&lt;&gt;Draft",'Time Entries'!$P:$P,"&lt;&gt;Rejected")</f>
        <v/>
      </c>
      <c r="J56" s="20">
        <f>SUMIFS('Time Entries'!$M:$M,'Time Entries'!$B:$B,$B56,'Time Entries'!$F:$F,"&gt;="&amp;$D56,'Time Entries'!$F:$F,"&lt;="&amp;$E56,'Time Entries'!$P:$P,"&lt;&gt;Draft",'Time Entries'!$P:$P,"&lt;&gt;Rejected")</f>
        <v/>
      </c>
      <c r="K56" s="20">
        <f>SUMIFS('Time Entries'!$N:$N,'Time Entries'!$B:$B,$B56,'Time Entries'!$F:$F,"&gt;="&amp;$D56,'Time Entries'!$F:$F,"&lt;="&amp;$E56,'Time Entries'!$P:$P,"&lt;&gt;Draft",'Time Entries'!$P:$P,"&lt;&gt;Rejected")</f>
        <v/>
      </c>
      <c r="L56" s="20">
        <f>I56+J56-K56</f>
        <v/>
      </c>
      <c r="M56" s="21" t="n"/>
      <c r="N56" s="21" t="n"/>
    </row>
    <row r="57">
      <c r="C57">
        <f>IFERROR(VLOOKUP(B57,Workers!$A:$H,2,FALSE),"")</f>
        <v/>
      </c>
      <c r="D57" s="17" t="n"/>
      <c r="E57" s="17" t="n"/>
      <c r="H57" s="19">
        <f>SUMIFS('Time Entries'!$J:$J,'Time Entries'!$B:$B,$B57,'Time Entries'!$F:$F,"&gt;="&amp;$D57,'Time Entries'!$F:$F,"&lt;="&amp;$E57,'Time Entries'!$P:$P,"&lt;&gt;Draft",'Time Entries'!$P:$P,"&lt;&gt;Rejected")</f>
        <v/>
      </c>
      <c r="I57" s="20">
        <f>SUMIFS('Time Entries'!$L:$L,'Time Entries'!$B:$B,$B57,'Time Entries'!$F:$F,"&gt;="&amp;$D57,'Time Entries'!$F:$F,"&lt;="&amp;$E57,'Time Entries'!$P:$P,"&lt;&gt;Draft",'Time Entries'!$P:$P,"&lt;&gt;Rejected")</f>
        <v/>
      </c>
      <c r="J57" s="20">
        <f>SUMIFS('Time Entries'!$M:$M,'Time Entries'!$B:$B,$B57,'Time Entries'!$F:$F,"&gt;="&amp;$D57,'Time Entries'!$F:$F,"&lt;="&amp;$E57,'Time Entries'!$P:$P,"&lt;&gt;Draft",'Time Entries'!$P:$P,"&lt;&gt;Rejected")</f>
        <v/>
      </c>
      <c r="K57" s="20">
        <f>SUMIFS('Time Entries'!$N:$N,'Time Entries'!$B:$B,$B57,'Time Entries'!$F:$F,"&gt;="&amp;$D57,'Time Entries'!$F:$F,"&lt;="&amp;$E57,'Time Entries'!$P:$P,"&lt;&gt;Draft",'Time Entries'!$P:$P,"&lt;&gt;Rejected")</f>
        <v/>
      </c>
      <c r="L57" s="20">
        <f>I57+J57-K57</f>
        <v/>
      </c>
      <c r="M57" s="21" t="n"/>
      <c r="N57" s="21" t="n"/>
    </row>
    <row r="58">
      <c r="C58">
        <f>IFERROR(VLOOKUP(B58,Workers!$A:$H,2,FALSE),"")</f>
        <v/>
      </c>
      <c r="D58" s="17" t="n"/>
      <c r="E58" s="17" t="n"/>
      <c r="H58" s="19">
        <f>SUMIFS('Time Entries'!$J:$J,'Time Entries'!$B:$B,$B58,'Time Entries'!$F:$F,"&gt;="&amp;$D58,'Time Entries'!$F:$F,"&lt;="&amp;$E58,'Time Entries'!$P:$P,"&lt;&gt;Draft",'Time Entries'!$P:$P,"&lt;&gt;Rejected")</f>
        <v/>
      </c>
      <c r="I58" s="20">
        <f>SUMIFS('Time Entries'!$L:$L,'Time Entries'!$B:$B,$B58,'Time Entries'!$F:$F,"&gt;="&amp;$D58,'Time Entries'!$F:$F,"&lt;="&amp;$E58,'Time Entries'!$P:$P,"&lt;&gt;Draft",'Time Entries'!$P:$P,"&lt;&gt;Rejected")</f>
        <v/>
      </c>
      <c r="J58" s="20">
        <f>SUMIFS('Time Entries'!$M:$M,'Time Entries'!$B:$B,$B58,'Time Entries'!$F:$F,"&gt;="&amp;$D58,'Time Entries'!$F:$F,"&lt;="&amp;$E58,'Time Entries'!$P:$P,"&lt;&gt;Draft",'Time Entries'!$P:$P,"&lt;&gt;Rejected")</f>
        <v/>
      </c>
      <c r="K58" s="20">
        <f>SUMIFS('Time Entries'!$N:$N,'Time Entries'!$B:$B,$B58,'Time Entries'!$F:$F,"&gt;="&amp;$D58,'Time Entries'!$F:$F,"&lt;="&amp;$E58,'Time Entries'!$P:$P,"&lt;&gt;Draft",'Time Entries'!$P:$P,"&lt;&gt;Rejected")</f>
        <v/>
      </c>
      <c r="L58" s="20">
        <f>I58+J58-K58</f>
        <v/>
      </c>
      <c r="M58" s="21" t="n"/>
      <c r="N58" s="21" t="n"/>
    </row>
    <row r="59">
      <c r="C59">
        <f>IFERROR(VLOOKUP(B59,Workers!$A:$H,2,FALSE),"")</f>
        <v/>
      </c>
      <c r="D59" s="17" t="n"/>
      <c r="E59" s="17" t="n"/>
      <c r="H59" s="19">
        <f>SUMIFS('Time Entries'!$J:$J,'Time Entries'!$B:$B,$B59,'Time Entries'!$F:$F,"&gt;="&amp;$D59,'Time Entries'!$F:$F,"&lt;="&amp;$E59,'Time Entries'!$P:$P,"&lt;&gt;Draft",'Time Entries'!$P:$P,"&lt;&gt;Rejected")</f>
        <v/>
      </c>
      <c r="I59" s="20">
        <f>SUMIFS('Time Entries'!$L:$L,'Time Entries'!$B:$B,$B59,'Time Entries'!$F:$F,"&gt;="&amp;$D59,'Time Entries'!$F:$F,"&lt;="&amp;$E59,'Time Entries'!$P:$P,"&lt;&gt;Draft",'Time Entries'!$P:$P,"&lt;&gt;Rejected")</f>
        <v/>
      </c>
      <c r="J59" s="20">
        <f>SUMIFS('Time Entries'!$M:$M,'Time Entries'!$B:$B,$B59,'Time Entries'!$F:$F,"&gt;="&amp;$D59,'Time Entries'!$F:$F,"&lt;="&amp;$E59,'Time Entries'!$P:$P,"&lt;&gt;Draft",'Time Entries'!$P:$P,"&lt;&gt;Rejected")</f>
        <v/>
      </c>
      <c r="K59" s="20">
        <f>SUMIFS('Time Entries'!$N:$N,'Time Entries'!$B:$B,$B59,'Time Entries'!$F:$F,"&gt;="&amp;$D59,'Time Entries'!$F:$F,"&lt;="&amp;$E59,'Time Entries'!$P:$P,"&lt;&gt;Draft",'Time Entries'!$P:$P,"&lt;&gt;Rejected")</f>
        <v/>
      </c>
      <c r="L59" s="20">
        <f>I59+J59-K59</f>
        <v/>
      </c>
      <c r="M59" s="21" t="n"/>
      <c r="N59" s="21" t="n"/>
    </row>
    <row r="60">
      <c r="C60">
        <f>IFERROR(VLOOKUP(B60,Workers!$A:$H,2,FALSE),"")</f>
        <v/>
      </c>
      <c r="D60" s="17" t="n"/>
      <c r="E60" s="17" t="n"/>
      <c r="H60" s="19">
        <f>SUMIFS('Time Entries'!$J:$J,'Time Entries'!$B:$B,$B60,'Time Entries'!$F:$F,"&gt;="&amp;$D60,'Time Entries'!$F:$F,"&lt;="&amp;$E60,'Time Entries'!$P:$P,"&lt;&gt;Draft",'Time Entries'!$P:$P,"&lt;&gt;Rejected")</f>
        <v/>
      </c>
      <c r="I60" s="20">
        <f>SUMIFS('Time Entries'!$L:$L,'Time Entries'!$B:$B,$B60,'Time Entries'!$F:$F,"&gt;="&amp;$D60,'Time Entries'!$F:$F,"&lt;="&amp;$E60,'Time Entries'!$P:$P,"&lt;&gt;Draft",'Time Entries'!$P:$P,"&lt;&gt;Rejected")</f>
        <v/>
      </c>
      <c r="J60" s="20">
        <f>SUMIFS('Time Entries'!$M:$M,'Time Entries'!$B:$B,$B60,'Time Entries'!$F:$F,"&gt;="&amp;$D60,'Time Entries'!$F:$F,"&lt;="&amp;$E60,'Time Entries'!$P:$P,"&lt;&gt;Draft",'Time Entries'!$P:$P,"&lt;&gt;Rejected")</f>
        <v/>
      </c>
      <c r="K60" s="20">
        <f>SUMIFS('Time Entries'!$N:$N,'Time Entries'!$B:$B,$B60,'Time Entries'!$F:$F,"&gt;="&amp;$D60,'Time Entries'!$F:$F,"&lt;="&amp;$E60,'Time Entries'!$P:$P,"&lt;&gt;Draft",'Time Entries'!$P:$P,"&lt;&gt;Rejected")</f>
        <v/>
      </c>
      <c r="L60" s="20">
        <f>I60+J60-K60</f>
        <v/>
      </c>
      <c r="M60" s="21" t="n"/>
      <c r="N60" s="21" t="n"/>
    </row>
    <row r="61">
      <c r="C61">
        <f>IFERROR(VLOOKUP(B61,Workers!$A:$H,2,FALSE),"")</f>
        <v/>
      </c>
      <c r="D61" s="17" t="n"/>
      <c r="E61" s="17" t="n"/>
      <c r="H61" s="19">
        <f>SUMIFS('Time Entries'!$J:$J,'Time Entries'!$B:$B,$B61,'Time Entries'!$F:$F,"&gt;="&amp;$D61,'Time Entries'!$F:$F,"&lt;="&amp;$E61,'Time Entries'!$P:$P,"&lt;&gt;Draft",'Time Entries'!$P:$P,"&lt;&gt;Rejected")</f>
        <v/>
      </c>
      <c r="I61" s="20">
        <f>SUMIFS('Time Entries'!$L:$L,'Time Entries'!$B:$B,$B61,'Time Entries'!$F:$F,"&gt;="&amp;$D61,'Time Entries'!$F:$F,"&lt;="&amp;$E61,'Time Entries'!$P:$P,"&lt;&gt;Draft",'Time Entries'!$P:$P,"&lt;&gt;Rejected")</f>
        <v/>
      </c>
      <c r="J61" s="20">
        <f>SUMIFS('Time Entries'!$M:$M,'Time Entries'!$B:$B,$B61,'Time Entries'!$F:$F,"&gt;="&amp;$D61,'Time Entries'!$F:$F,"&lt;="&amp;$E61,'Time Entries'!$P:$P,"&lt;&gt;Draft",'Time Entries'!$P:$P,"&lt;&gt;Rejected")</f>
        <v/>
      </c>
      <c r="K61" s="20">
        <f>SUMIFS('Time Entries'!$N:$N,'Time Entries'!$B:$B,$B61,'Time Entries'!$F:$F,"&gt;="&amp;$D61,'Time Entries'!$F:$F,"&lt;="&amp;$E61,'Time Entries'!$P:$P,"&lt;&gt;Draft",'Time Entries'!$P:$P,"&lt;&gt;Rejected")</f>
        <v/>
      </c>
      <c r="L61" s="20">
        <f>I61+J61-K61</f>
        <v/>
      </c>
      <c r="M61" s="21" t="n"/>
      <c r="N61" s="21" t="n"/>
    </row>
    <row r="62">
      <c r="C62">
        <f>IFERROR(VLOOKUP(B62,Workers!$A:$H,2,FALSE),"")</f>
        <v/>
      </c>
      <c r="D62" s="17" t="n"/>
      <c r="E62" s="17" t="n"/>
      <c r="H62" s="19">
        <f>SUMIFS('Time Entries'!$J:$J,'Time Entries'!$B:$B,$B62,'Time Entries'!$F:$F,"&gt;="&amp;$D62,'Time Entries'!$F:$F,"&lt;="&amp;$E62,'Time Entries'!$P:$P,"&lt;&gt;Draft",'Time Entries'!$P:$P,"&lt;&gt;Rejected")</f>
        <v/>
      </c>
      <c r="I62" s="20">
        <f>SUMIFS('Time Entries'!$L:$L,'Time Entries'!$B:$B,$B62,'Time Entries'!$F:$F,"&gt;="&amp;$D62,'Time Entries'!$F:$F,"&lt;="&amp;$E62,'Time Entries'!$P:$P,"&lt;&gt;Draft",'Time Entries'!$P:$P,"&lt;&gt;Rejected")</f>
        <v/>
      </c>
      <c r="J62" s="20">
        <f>SUMIFS('Time Entries'!$M:$M,'Time Entries'!$B:$B,$B62,'Time Entries'!$F:$F,"&gt;="&amp;$D62,'Time Entries'!$F:$F,"&lt;="&amp;$E62,'Time Entries'!$P:$P,"&lt;&gt;Draft",'Time Entries'!$P:$P,"&lt;&gt;Rejected")</f>
        <v/>
      </c>
      <c r="K62" s="20">
        <f>SUMIFS('Time Entries'!$N:$N,'Time Entries'!$B:$B,$B62,'Time Entries'!$F:$F,"&gt;="&amp;$D62,'Time Entries'!$F:$F,"&lt;="&amp;$E62,'Time Entries'!$P:$P,"&lt;&gt;Draft",'Time Entries'!$P:$P,"&lt;&gt;Rejected")</f>
        <v/>
      </c>
      <c r="L62" s="20">
        <f>I62+J62-K62</f>
        <v/>
      </c>
      <c r="M62" s="21" t="n"/>
      <c r="N62" s="21" t="n"/>
    </row>
    <row r="63">
      <c r="C63">
        <f>IFERROR(VLOOKUP(B63,Workers!$A:$H,2,FALSE),"")</f>
        <v/>
      </c>
      <c r="D63" s="17" t="n"/>
      <c r="E63" s="17" t="n"/>
      <c r="H63" s="19">
        <f>SUMIFS('Time Entries'!$J:$J,'Time Entries'!$B:$B,$B63,'Time Entries'!$F:$F,"&gt;="&amp;$D63,'Time Entries'!$F:$F,"&lt;="&amp;$E63,'Time Entries'!$P:$P,"&lt;&gt;Draft",'Time Entries'!$P:$P,"&lt;&gt;Rejected")</f>
        <v/>
      </c>
      <c r="I63" s="20">
        <f>SUMIFS('Time Entries'!$L:$L,'Time Entries'!$B:$B,$B63,'Time Entries'!$F:$F,"&gt;="&amp;$D63,'Time Entries'!$F:$F,"&lt;="&amp;$E63,'Time Entries'!$P:$P,"&lt;&gt;Draft",'Time Entries'!$P:$P,"&lt;&gt;Rejected")</f>
        <v/>
      </c>
      <c r="J63" s="20">
        <f>SUMIFS('Time Entries'!$M:$M,'Time Entries'!$B:$B,$B63,'Time Entries'!$F:$F,"&gt;="&amp;$D63,'Time Entries'!$F:$F,"&lt;="&amp;$E63,'Time Entries'!$P:$P,"&lt;&gt;Draft",'Time Entries'!$P:$P,"&lt;&gt;Rejected")</f>
        <v/>
      </c>
      <c r="K63" s="20">
        <f>SUMIFS('Time Entries'!$N:$N,'Time Entries'!$B:$B,$B63,'Time Entries'!$F:$F,"&gt;="&amp;$D63,'Time Entries'!$F:$F,"&lt;="&amp;$E63,'Time Entries'!$P:$P,"&lt;&gt;Draft",'Time Entries'!$P:$P,"&lt;&gt;Rejected")</f>
        <v/>
      </c>
      <c r="L63" s="20">
        <f>I63+J63-K63</f>
        <v/>
      </c>
      <c r="M63" s="21" t="n"/>
      <c r="N63" s="21" t="n"/>
    </row>
    <row r="64">
      <c r="C64">
        <f>IFERROR(VLOOKUP(B64,Workers!$A:$H,2,FALSE),"")</f>
        <v/>
      </c>
      <c r="D64" s="17" t="n"/>
      <c r="E64" s="17" t="n"/>
      <c r="H64" s="19">
        <f>SUMIFS('Time Entries'!$J:$J,'Time Entries'!$B:$B,$B64,'Time Entries'!$F:$F,"&gt;="&amp;$D64,'Time Entries'!$F:$F,"&lt;="&amp;$E64,'Time Entries'!$P:$P,"&lt;&gt;Draft",'Time Entries'!$P:$P,"&lt;&gt;Rejected")</f>
        <v/>
      </c>
      <c r="I64" s="20">
        <f>SUMIFS('Time Entries'!$L:$L,'Time Entries'!$B:$B,$B64,'Time Entries'!$F:$F,"&gt;="&amp;$D64,'Time Entries'!$F:$F,"&lt;="&amp;$E64,'Time Entries'!$P:$P,"&lt;&gt;Draft",'Time Entries'!$P:$P,"&lt;&gt;Rejected")</f>
        <v/>
      </c>
      <c r="J64" s="20">
        <f>SUMIFS('Time Entries'!$M:$M,'Time Entries'!$B:$B,$B64,'Time Entries'!$F:$F,"&gt;="&amp;$D64,'Time Entries'!$F:$F,"&lt;="&amp;$E64,'Time Entries'!$P:$P,"&lt;&gt;Draft",'Time Entries'!$P:$P,"&lt;&gt;Rejected")</f>
        <v/>
      </c>
      <c r="K64" s="20">
        <f>SUMIFS('Time Entries'!$N:$N,'Time Entries'!$B:$B,$B64,'Time Entries'!$F:$F,"&gt;="&amp;$D64,'Time Entries'!$F:$F,"&lt;="&amp;$E64,'Time Entries'!$P:$P,"&lt;&gt;Draft",'Time Entries'!$P:$P,"&lt;&gt;Rejected")</f>
        <v/>
      </c>
      <c r="L64" s="20">
        <f>I64+J64-K64</f>
        <v/>
      </c>
      <c r="M64" s="21" t="n"/>
      <c r="N64" s="21" t="n"/>
    </row>
    <row r="65">
      <c r="C65">
        <f>IFERROR(VLOOKUP(B65,Workers!$A:$H,2,FALSE),"")</f>
        <v/>
      </c>
      <c r="D65" s="17" t="n"/>
      <c r="E65" s="17" t="n"/>
      <c r="H65" s="19">
        <f>SUMIFS('Time Entries'!$J:$J,'Time Entries'!$B:$B,$B65,'Time Entries'!$F:$F,"&gt;="&amp;$D65,'Time Entries'!$F:$F,"&lt;="&amp;$E65,'Time Entries'!$P:$P,"&lt;&gt;Draft",'Time Entries'!$P:$P,"&lt;&gt;Rejected")</f>
        <v/>
      </c>
      <c r="I65" s="20">
        <f>SUMIFS('Time Entries'!$L:$L,'Time Entries'!$B:$B,$B65,'Time Entries'!$F:$F,"&gt;="&amp;$D65,'Time Entries'!$F:$F,"&lt;="&amp;$E65,'Time Entries'!$P:$P,"&lt;&gt;Draft",'Time Entries'!$P:$P,"&lt;&gt;Rejected")</f>
        <v/>
      </c>
      <c r="J65" s="20">
        <f>SUMIFS('Time Entries'!$M:$M,'Time Entries'!$B:$B,$B65,'Time Entries'!$F:$F,"&gt;="&amp;$D65,'Time Entries'!$F:$F,"&lt;="&amp;$E65,'Time Entries'!$P:$P,"&lt;&gt;Draft",'Time Entries'!$P:$P,"&lt;&gt;Rejected")</f>
        <v/>
      </c>
      <c r="K65" s="20">
        <f>SUMIFS('Time Entries'!$N:$N,'Time Entries'!$B:$B,$B65,'Time Entries'!$F:$F,"&gt;="&amp;$D65,'Time Entries'!$F:$F,"&lt;="&amp;$E65,'Time Entries'!$P:$P,"&lt;&gt;Draft",'Time Entries'!$P:$P,"&lt;&gt;Rejected")</f>
        <v/>
      </c>
      <c r="L65" s="20">
        <f>I65+J65-K65</f>
        <v/>
      </c>
      <c r="M65" s="21" t="n"/>
      <c r="N65" s="21" t="n"/>
    </row>
    <row r="66">
      <c r="C66">
        <f>IFERROR(VLOOKUP(B66,Workers!$A:$H,2,FALSE),"")</f>
        <v/>
      </c>
      <c r="D66" s="17" t="n"/>
      <c r="E66" s="17" t="n"/>
      <c r="H66" s="19">
        <f>SUMIFS('Time Entries'!$J:$J,'Time Entries'!$B:$B,$B66,'Time Entries'!$F:$F,"&gt;="&amp;$D66,'Time Entries'!$F:$F,"&lt;="&amp;$E66,'Time Entries'!$P:$P,"&lt;&gt;Draft",'Time Entries'!$P:$P,"&lt;&gt;Rejected")</f>
        <v/>
      </c>
      <c r="I66" s="20">
        <f>SUMIFS('Time Entries'!$L:$L,'Time Entries'!$B:$B,$B66,'Time Entries'!$F:$F,"&gt;="&amp;$D66,'Time Entries'!$F:$F,"&lt;="&amp;$E66,'Time Entries'!$P:$P,"&lt;&gt;Draft",'Time Entries'!$P:$P,"&lt;&gt;Rejected")</f>
        <v/>
      </c>
      <c r="J66" s="20">
        <f>SUMIFS('Time Entries'!$M:$M,'Time Entries'!$B:$B,$B66,'Time Entries'!$F:$F,"&gt;="&amp;$D66,'Time Entries'!$F:$F,"&lt;="&amp;$E66,'Time Entries'!$P:$P,"&lt;&gt;Draft",'Time Entries'!$P:$P,"&lt;&gt;Rejected")</f>
        <v/>
      </c>
      <c r="K66" s="20">
        <f>SUMIFS('Time Entries'!$N:$N,'Time Entries'!$B:$B,$B66,'Time Entries'!$F:$F,"&gt;="&amp;$D66,'Time Entries'!$F:$F,"&lt;="&amp;$E66,'Time Entries'!$P:$P,"&lt;&gt;Draft",'Time Entries'!$P:$P,"&lt;&gt;Rejected")</f>
        <v/>
      </c>
      <c r="L66" s="20">
        <f>I66+J66-K66</f>
        <v/>
      </c>
      <c r="M66" s="21" t="n"/>
      <c r="N66" s="21" t="n"/>
    </row>
    <row r="67">
      <c r="C67">
        <f>IFERROR(VLOOKUP(B67,Workers!$A:$H,2,FALSE),"")</f>
        <v/>
      </c>
      <c r="D67" s="17" t="n"/>
      <c r="E67" s="17" t="n"/>
      <c r="H67" s="19">
        <f>SUMIFS('Time Entries'!$J:$J,'Time Entries'!$B:$B,$B67,'Time Entries'!$F:$F,"&gt;="&amp;$D67,'Time Entries'!$F:$F,"&lt;="&amp;$E67,'Time Entries'!$P:$P,"&lt;&gt;Draft",'Time Entries'!$P:$P,"&lt;&gt;Rejected")</f>
        <v/>
      </c>
      <c r="I67" s="20">
        <f>SUMIFS('Time Entries'!$L:$L,'Time Entries'!$B:$B,$B67,'Time Entries'!$F:$F,"&gt;="&amp;$D67,'Time Entries'!$F:$F,"&lt;="&amp;$E67,'Time Entries'!$P:$P,"&lt;&gt;Draft",'Time Entries'!$P:$P,"&lt;&gt;Rejected")</f>
        <v/>
      </c>
      <c r="J67" s="20">
        <f>SUMIFS('Time Entries'!$M:$M,'Time Entries'!$B:$B,$B67,'Time Entries'!$F:$F,"&gt;="&amp;$D67,'Time Entries'!$F:$F,"&lt;="&amp;$E67,'Time Entries'!$P:$P,"&lt;&gt;Draft",'Time Entries'!$P:$P,"&lt;&gt;Rejected")</f>
        <v/>
      </c>
      <c r="K67" s="20">
        <f>SUMIFS('Time Entries'!$N:$N,'Time Entries'!$B:$B,$B67,'Time Entries'!$F:$F,"&gt;="&amp;$D67,'Time Entries'!$F:$F,"&lt;="&amp;$E67,'Time Entries'!$P:$P,"&lt;&gt;Draft",'Time Entries'!$P:$P,"&lt;&gt;Rejected")</f>
        <v/>
      </c>
      <c r="L67" s="20">
        <f>I67+J67-K67</f>
        <v/>
      </c>
      <c r="M67" s="21" t="n"/>
      <c r="N67" s="21" t="n"/>
    </row>
    <row r="68">
      <c r="C68">
        <f>IFERROR(VLOOKUP(B68,Workers!$A:$H,2,FALSE),"")</f>
        <v/>
      </c>
      <c r="D68" s="17" t="n"/>
      <c r="E68" s="17" t="n"/>
      <c r="H68" s="19">
        <f>SUMIFS('Time Entries'!$J:$J,'Time Entries'!$B:$B,$B68,'Time Entries'!$F:$F,"&gt;="&amp;$D68,'Time Entries'!$F:$F,"&lt;="&amp;$E68,'Time Entries'!$P:$P,"&lt;&gt;Draft",'Time Entries'!$P:$P,"&lt;&gt;Rejected")</f>
        <v/>
      </c>
      <c r="I68" s="20">
        <f>SUMIFS('Time Entries'!$L:$L,'Time Entries'!$B:$B,$B68,'Time Entries'!$F:$F,"&gt;="&amp;$D68,'Time Entries'!$F:$F,"&lt;="&amp;$E68,'Time Entries'!$P:$P,"&lt;&gt;Draft",'Time Entries'!$P:$P,"&lt;&gt;Rejected")</f>
        <v/>
      </c>
      <c r="J68" s="20">
        <f>SUMIFS('Time Entries'!$M:$M,'Time Entries'!$B:$B,$B68,'Time Entries'!$F:$F,"&gt;="&amp;$D68,'Time Entries'!$F:$F,"&lt;="&amp;$E68,'Time Entries'!$P:$P,"&lt;&gt;Draft",'Time Entries'!$P:$P,"&lt;&gt;Rejected")</f>
        <v/>
      </c>
      <c r="K68" s="20">
        <f>SUMIFS('Time Entries'!$N:$N,'Time Entries'!$B:$B,$B68,'Time Entries'!$F:$F,"&gt;="&amp;$D68,'Time Entries'!$F:$F,"&lt;="&amp;$E68,'Time Entries'!$P:$P,"&lt;&gt;Draft",'Time Entries'!$P:$P,"&lt;&gt;Rejected")</f>
        <v/>
      </c>
      <c r="L68" s="20">
        <f>I68+J68-K68</f>
        <v/>
      </c>
      <c r="M68" s="21" t="n"/>
      <c r="N68" s="21" t="n"/>
    </row>
    <row r="69">
      <c r="C69">
        <f>IFERROR(VLOOKUP(B69,Workers!$A:$H,2,FALSE),"")</f>
        <v/>
      </c>
      <c r="D69" s="17" t="n"/>
      <c r="E69" s="17" t="n"/>
      <c r="H69" s="19">
        <f>SUMIFS('Time Entries'!$J:$J,'Time Entries'!$B:$B,$B69,'Time Entries'!$F:$F,"&gt;="&amp;$D69,'Time Entries'!$F:$F,"&lt;="&amp;$E69,'Time Entries'!$P:$P,"&lt;&gt;Draft",'Time Entries'!$P:$P,"&lt;&gt;Rejected")</f>
        <v/>
      </c>
      <c r="I69" s="20">
        <f>SUMIFS('Time Entries'!$L:$L,'Time Entries'!$B:$B,$B69,'Time Entries'!$F:$F,"&gt;="&amp;$D69,'Time Entries'!$F:$F,"&lt;="&amp;$E69,'Time Entries'!$P:$P,"&lt;&gt;Draft",'Time Entries'!$P:$P,"&lt;&gt;Rejected")</f>
        <v/>
      </c>
      <c r="J69" s="20">
        <f>SUMIFS('Time Entries'!$M:$M,'Time Entries'!$B:$B,$B69,'Time Entries'!$F:$F,"&gt;="&amp;$D69,'Time Entries'!$F:$F,"&lt;="&amp;$E69,'Time Entries'!$P:$P,"&lt;&gt;Draft",'Time Entries'!$P:$P,"&lt;&gt;Rejected")</f>
        <v/>
      </c>
      <c r="K69" s="20">
        <f>SUMIFS('Time Entries'!$N:$N,'Time Entries'!$B:$B,$B69,'Time Entries'!$F:$F,"&gt;="&amp;$D69,'Time Entries'!$F:$F,"&lt;="&amp;$E69,'Time Entries'!$P:$P,"&lt;&gt;Draft",'Time Entries'!$P:$P,"&lt;&gt;Rejected")</f>
        <v/>
      </c>
      <c r="L69" s="20">
        <f>I69+J69-K69</f>
        <v/>
      </c>
      <c r="M69" s="21" t="n"/>
      <c r="N69" s="21" t="n"/>
    </row>
    <row r="70">
      <c r="C70">
        <f>IFERROR(VLOOKUP(B70,Workers!$A:$H,2,FALSE),"")</f>
        <v/>
      </c>
      <c r="D70" s="17" t="n"/>
      <c r="E70" s="17" t="n"/>
      <c r="H70" s="19">
        <f>SUMIFS('Time Entries'!$J:$J,'Time Entries'!$B:$B,$B70,'Time Entries'!$F:$F,"&gt;="&amp;$D70,'Time Entries'!$F:$F,"&lt;="&amp;$E70,'Time Entries'!$P:$P,"&lt;&gt;Draft",'Time Entries'!$P:$P,"&lt;&gt;Rejected")</f>
        <v/>
      </c>
      <c r="I70" s="20">
        <f>SUMIFS('Time Entries'!$L:$L,'Time Entries'!$B:$B,$B70,'Time Entries'!$F:$F,"&gt;="&amp;$D70,'Time Entries'!$F:$F,"&lt;="&amp;$E70,'Time Entries'!$P:$P,"&lt;&gt;Draft",'Time Entries'!$P:$P,"&lt;&gt;Rejected")</f>
        <v/>
      </c>
      <c r="J70" s="20">
        <f>SUMIFS('Time Entries'!$M:$M,'Time Entries'!$B:$B,$B70,'Time Entries'!$F:$F,"&gt;="&amp;$D70,'Time Entries'!$F:$F,"&lt;="&amp;$E70,'Time Entries'!$P:$P,"&lt;&gt;Draft",'Time Entries'!$P:$P,"&lt;&gt;Rejected")</f>
        <v/>
      </c>
      <c r="K70" s="20">
        <f>SUMIFS('Time Entries'!$N:$N,'Time Entries'!$B:$B,$B70,'Time Entries'!$F:$F,"&gt;="&amp;$D70,'Time Entries'!$F:$F,"&lt;="&amp;$E70,'Time Entries'!$P:$P,"&lt;&gt;Draft",'Time Entries'!$P:$P,"&lt;&gt;Rejected")</f>
        <v/>
      </c>
      <c r="L70" s="20">
        <f>I70+J70-K70</f>
        <v/>
      </c>
      <c r="M70" s="21" t="n"/>
      <c r="N70" s="21" t="n"/>
    </row>
    <row r="71">
      <c r="C71">
        <f>IFERROR(VLOOKUP(B71,Workers!$A:$H,2,FALSE),"")</f>
        <v/>
      </c>
      <c r="D71" s="17" t="n"/>
      <c r="E71" s="17" t="n"/>
      <c r="H71" s="19">
        <f>SUMIFS('Time Entries'!$J:$J,'Time Entries'!$B:$B,$B71,'Time Entries'!$F:$F,"&gt;="&amp;$D71,'Time Entries'!$F:$F,"&lt;="&amp;$E71,'Time Entries'!$P:$P,"&lt;&gt;Draft",'Time Entries'!$P:$P,"&lt;&gt;Rejected")</f>
        <v/>
      </c>
      <c r="I71" s="20">
        <f>SUMIFS('Time Entries'!$L:$L,'Time Entries'!$B:$B,$B71,'Time Entries'!$F:$F,"&gt;="&amp;$D71,'Time Entries'!$F:$F,"&lt;="&amp;$E71,'Time Entries'!$P:$P,"&lt;&gt;Draft",'Time Entries'!$P:$P,"&lt;&gt;Rejected")</f>
        <v/>
      </c>
      <c r="J71" s="20">
        <f>SUMIFS('Time Entries'!$M:$M,'Time Entries'!$B:$B,$B71,'Time Entries'!$F:$F,"&gt;="&amp;$D71,'Time Entries'!$F:$F,"&lt;="&amp;$E71,'Time Entries'!$P:$P,"&lt;&gt;Draft",'Time Entries'!$P:$P,"&lt;&gt;Rejected")</f>
        <v/>
      </c>
      <c r="K71" s="20">
        <f>SUMIFS('Time Entries'!$N:$N,'Time Entries'!$B:$B,$B71,'Time Entries'!$F:$F,"&gt;="&amp;$D71,'Time Entries'!$F:$F,"&lt;="&amp;$E71,'Time Entries'!$P:$P,"&lt;&gt;Draft",'Time Entries'!$P:$P,"&lt;&gt;Rejected")</f>
        <v/>
      </c>
      <c r="L71" s="20">
        <f>I71+J71-K71</f>
        <v/>
      </c>
      <c r="M71" s="21" t="n"/>
      <c r="N71" s="21" t="n"/>
    </row>
    <row r="72">
      <c r="C72">
        <f>IFERROR(VLOOKUP(B72,Workers!$A:$H,2,FALSE),"")</f>
        <v/>
      </c>
      <c r="D72" s="17" t="n"/>
      <c r="E72" s="17" t="n"/>
      <c r="H72" s="19">
        <f>SUMIFS('Time Entries'!$J:$J,'Time Entries'!$B:$B,$B72,'Time Entries'!$F:$F,"&gt;="&amp;$D72,'Time Entries'!$F:$F,"&lt;="&amp;$E72,'Time Entries'!$P:$P,"&lt;&gt;Draft",'Time Entries'!$P:$P,"&lt;&gt;Rejected")</f>
        <v/>
      </c>
      <c r="I72" s="20">
        <f>SUMIFS('Time Entries'!$L:$L,'Time Entries'!$B:$B,$B72,'Time Entries'!$F:$F,"&gt;="&amp;$D72,'Time Entries'!$F:$F,"&lt;="&amp;$E72,'Time Entries'!$P:$P,"&lt;&gt;Draft",'Time Entries'!$P:$P,"&lt;&gt;Rejected")</f>
        <v/>
      </c>
      <c r="J72" s="20">
        <f>SUMIFS('Time Entries'!$M:$M,'Time Entries'!$B:$B,$B72,'Time Entries'!$F:$F,"&gt;="&amp;$D72,'Time Entries'!$F:$F,"&lt;="&amp;$E72,'Time Entries'!$P:$P,"&lt;&gt;Draft",'Time Entries'!$P:$P,"&lt;&gt;Rejected")</f>
        <v/>
      </c>
      <c r="K72" s="20">
        <f>SUMIFS('Time Entries'!$N:$N,'Time Entries'!$B:$B,$B72,'Time Entries'!$F:$F,"&gt;="&amp;$D72,'Time Entries'!$F:$F,"&lt;="&amp;$E72,'Time Entries'!$P:$P,"&lt;&gt;Draft",'Time Entries'!$P:$P,"&lt;&gt;Rejected")</f>
        <v/>
      </c>
      <c r="L72" s="20">
        <f>I72+J72-K72</f>
        <v/>
      </c>
      <c r="M72" s="21" t="n"/>
      <c r="N72" s="21" t="n"/>
    </row>
    <row r="73">
      <c r="C73">
        <f>IFERROR(VLOOKUP(B73,Workers!$A:$H,2,FALSE),"")</f>
        <v/>
      </c>
      <c r="D73" s="17" t="n"/>
      <c r="E73" s="17" t="n"/>
      <c r="H73" s="19">
        <f>SUMIFS('Time Entries'!$J:$J,'Time Entries'!$B:$B,$B73,'Time Entries'!$F:$F,"&gt;="&amp;$D73,'Time Entries'!$F:$F,"&lt;="&amp;$E73,'Time Entries'!$P:$P,"&lt;&gt;Draft",'Time Entries'!$P:$P,"&lt;&gt;Rejected")</f>
        <v/>
      </c>
      <c r="I73" s="20">
        <f>SUMIFS('Time Entries'!$L:$L,'Time Entries'!$B:$B,$B73,'Time Entries'!$F:$F,"&gt;="&amp;$D73,'Time Entries'!$F:$F,"&lt;="&amp;$E73,'Time Entries'!$P:$P,"&lt;&gt;Draft",'Time Entries'!$P:$P,"&lt;&gt;Rejected")</f>
        <v/>
      </c>
      <c r="J73" s="20">
        <f>SUMIFS('Time Entries'!$M:$M,'Time Entries'!$B:$B,$B73,'Time Entries'!$F:$F,"&gt;="&amp;$D73,'Time Entries'!$F:$F,"&lt;="&amp;$E73,'Time Entries'!$P:$P,"&lt;&gt;Draft",'Time Entries'!$P:$P,"&lt;&gt;Rejected")</f>
        <v/>
      </c>
      <c r="K73" s="20">
        <f>SUMIFS('Time Entries'!$N:$N,'Time Entries'!$B:$B,$B73,'Time Entries'!$F:$F,"&gt;="&amp;$D73,'Time Entries'!$F:$F,"&lt;="&amp;$E73,'Time Entries'!$P:$P,"&lt;&gt;Draft",'Time Entries'!$P:$P,"&lt;&gt;Rejected")</f>
        <v/>
      </c>
      <c r="L73" s="20">
        <f>I73+J73-K73</f>
        <v/>
      </c>
      <c r="M73" s="21" t="n"/>
      <c r="N73" s="21" t="n"/>
    </row>
    <row r="74">
      <c r="C74">
        <f>IFERROR(VLOOKUP(B74,Workers!$A:$H,2,FALSE),"")</f>
        <v/>
      </c>
      <c r="D74" s="17" t="n"/>
      <c r="E74" s="17" t="n"/>
      <c r="H74" s="19">
        <f>SUMIFS('Time Entries'!$J:$J,'Time Entries'!$B:$B,$B74,'Time Entries'!$F:$F,"&gt;="&amp;$D74,'Time Entries'!$F:$F,"&lt;="&amp;$E74,'Time Entries'!$P:$P,"&lt;&gt;Draft",'Time Entries'!$P:$P,"&lt;&gt;Rejected")</f>
        <v/>
      </c>
      <c r="I74" s="20">
        <f>SUMIFS('Time Entries'!$L:$L,'Time Entries'!$B:$B,$B74,'Time Entries'!$F:$F,"&gt;="&amp;$D74,'Time Entries'!$F:$F,"&lt;="&amp;$E74,'Time Entries'!$P:$P,"&lt;&gt;Draft",'Time Entries'!$P:$P,"&lt;&gt;Rejected")</f>
        <v/>
      </c>
      <c r="J74" s="20">
        <f>SUMIFS('Time Entries'!$M:$M,'Time Entries'!$B:$B,$B74,'Time Entries'!$F:$F,"&gt;="&amp;$D74,'Time Entries'!$F:$F,"&lt;="&amp;$E74,'Time Entries'!$P:$P,"&lt;&gt;Draft",'Time Entries'!$P:$P,"&lt;&gt;Rejected")</f>
        <v/>
      </c>
      <c r="K74" s="20">
        <f>SUMIFS('Time Entries'!$N:$N,'Time Entries'!$B:$B,$B74,'Time Entries'!$F:$F,"&gt;="&amp;$D74,'Time Entries'!$F:$F,"&lt;="&amp;$E74,'Time Entries'!$P:$P,"&lt;&gt;Draft",'Time Entries'!$P:$P,"&lt;&gt;Rejected")</f>
        <v/>
      </c>
      <c r="L74" s="20">
        <f>I74+J74-K74</f>
        <v/>
      </c>
      <c r="M74" s="21" t="n"/>
      <c r="N74" s="21" t="n"/>
    </row>
    <row r="75">
      <c r="C75">
        <f>IFERROR(VLOOKUP(B75,Workers!$A:$H,2,FALSE),"")</f>
        <v/>
      </c>
      <c r="D75" s="17" t="n"/>
      <c r="E75" s="17" t="n"/>
      <c r="H75" s="19">
        <f>SUMIFS('Time Entries'!$J:$J,'Time Entries'!$B:$B,$B75,'Time Entries'!$F:$F,"&gt;="&amp;$D75,'Time Entries'!$F:$F,"&lt;="&amp;$E75,'Time Entries'!$P:$P,"&lt;&gt;Draft",'Time Entries'!$P:$P,"&lt;&gt;Rejected")</f>
        <v/>
      </c>
      <c r="I75" s="20">
        <f>SUMIFS('Time Entries'!$L:$L,'Time Entries'!$B:$B,$B75,'Time Entries'!$F:$F,"&gt;="&amp;$D75,'Time Entries'!$F:$F,"&lt;="&amp;$E75,'Time Entries'!$P:$P,"&lt;&gt;Draft",'Time Entries'!$P:$P,"&lt;&gt;Rejected")</f>
        <v/>
      </c>
      <c r="J75" s="20">
        <f>SUMIFS('Time Entries'!$M:$M,'Time Entries'!$B:$B,$B75,'Time Entries'!$F:$F,"&gt;="&amp;$D75,'Time Entries'!$F:$F,"&lt;="&amp;$E75,'Time Entries'!$P:$P,"&lt;&gt;Draft",'Time Entries'!$P:$P,"&lt;&gt;Rejected")</f>
        <v/>
      </c>
      <c r="K75" s="20">
        <f>SUMIFS('Time Entries'!$N:$N,'Time Entries'!$B:$B,$B75,'Time Entries'!$F:$F,"&gt;="&amp;$D75,'Time Entries'!$F:$F,"&lt;="&amp;$E75,'Time Entries'!$P:$P,"&lt;&gt;Draft",'Time Entries'!$P:$P,"&lt;&gt;Rejected")</f>
        <v/>
      </c>
      <c r="L75" s="20">
        <f>I75+J75-K75</f>
        <v/>
      </c>
      <c r="M75" s="21" t="n"/>
      <c r="N75" s="21" t="n"/>
    </row>
    <row r="76">
      <c r="C76">
        <f>IFERROR(VLOOKUP(B76,Workers!$A:$H,2,FALSE),"")</f>
        <v/>
      </c>
      <c r="D76" s="17" t="n"/>
      <c r="E76" s="17" t="n"/>
      <c r="H76" s="19">
        <f>SUMIFS('Time Entries'!$J:$J,'Time Entries'!$B:$B,$B76,'Time Entries'!$F:$F,"&gt;="&amp;$D76,'Time Entries'!$F:$F,"&lt;="&amp;$E76,'Time Entries'!$P:$P,"&lt;&gt;Draft",'Time Entries'!$P:$P,"&lt;&gt;Rejected")</f>
        <v/>
      </c>
      <c r="I76" s="20">
        <f>SUMIFS('Time Entries'!$L:$L,'Time Entries'!$B:$B,$B76,'Time Entries'!$F:$F,"&gt;="&amp;$D76,'Time Entries'!$F:$F,"&lt;="&amp;$E76,'Time Entries'!$P:$P,"&lt;&gt;Draft",'Time Entries'!$P:$P,"&lt;&gt;Rejected")</f>
        <v/>
      </c>
      <c r="J76" s="20">
        <f>SUMIFS('Time Entries'!$M:$M,'Time Entries'!$B:$B,$B76,'Time Entries'!$F:$F,"&gt;="&amp;$D76,'Time Entries'!$F:$F,"&lt;="&amp;$E76,'Time Entries'!$P:$P,"&lt;&gt;Draft",'Time Entries'!$P:$P,"&lt;&gt;Rejected")</f>
        <v/>
      </c>
      <c r="K76" s="20">
        <f>SUMIFS('Time Entries'!$N:$N,'Time Entries'!$B:$B,$B76,'Time Entries'!$F:$F,"&gt;="&amp;$D76,'Time Entries'!$F:$F,"&lt;="&amp;$E76,'Time Entries'!$P:$P,"&lt;&gt;Draft",'Time Entries'!$P:$P,"&lt;&gt;Rejected")</f>
        <v/>
      </c>
      <c r="L76" s="20">
        <f>I76+J76-K76</f>
        <v/>
      </c>
      <c r="M76" s="21" t="n"/>
      <c r="N76" s="21" t="n"/>
    </row>
    <row r="77">
      <c r="C77">
        <f>IFERROR(VLOOKUP(B77,Workers!$A:$H,2,FALSE),"")</f>
        <v/>
      </c>
      <c r="D77" s="17" t="n"/>
      <c r="E77" s="17" t="n"/>
      <c r="H77" s="19">
        <f>SUMIFS('Time Entries'!$J:$J,'Time Entries'!$B:$B,$B77,'Time Entries'!$F:$F,"&gt;="&amp;$D77,'Time Entries'!$F:$F,"&lt;="&amp;$E77,'Time Entries'!$P:$P,"&lt;&gt;Draft",'Time Entries'!$P:$P,"&lt;&gt;Rejected")</f>
        <v/>
      </c>
      <c r="I77" s="20">
        <f>SUMIFS('Time Entries'!$L:$L,'Time Entries'!$B:$B,$B77,'Time Entries'!$F:$F,"&gt;="&amp;$D77,'Time Entries'!$F:$F,"&lt;="&amp;$E77,'Time Entries'!$P:$P,"&lt;&gt;Draft",'Time Entries'!$P:$P,"&lt;&gt;Rejected")</f>
        <v/>
      </c>
      <c r="J77" s="20">
        <f>SUMIFS('Time Entries'!$M:$M,'Time Entries'!$B:$B,$B77,'Time Entries'!$F:$F,"&gt;="&amp;$D77,'Time Entries'!$F:$F,"&lt;="&amp;$E77,'Time Entries'!$P:$P,"&lt;&gt;Draft",'Time Entries'!$P:$P,"&lt;&gt;Rejected")</f>
        <v/>
      </c>
      <c r="K77" s="20">
        <f>SUMIFS('Time Entries'!$N:$N,'Time Entries'!$B:$B,$B77,'Time Entries'!$F:$F,"&gt;="&amp;$D77,'Time Entries'!$F:$F,"&lt;="&amp;$E77,'Time Entries'!$P:$P,"&lt;&gt;Draft",'Time Entries'!$P:$P,"&lt;&gt;Rejected")</f>
        <v/>
      </c>
      <c r="L77" s="20">
        <f>I77+J77-K77</f>
        <v/>
      </c>
      <c r="M77" s="21" t="n"/>
      <c r="N77" s="21" t="n"/>
    </row>
    <row r="78">
      <c r="C78">
        <f>IFERROR(VLOOKUP(B78,Workers!$A:$H,2,FALSE),"")</f>
        <v/>
      </c>
      <c r="D78" s="17" t="n"/>
      <c r="E78" s="17" t="n"/>
      <c r="H78" s="19">
        <f>SUMIFS('Time Entries'!$J:$J,'Time Entries'!$B:$B,$B78,'Time Entries'!$F:$F,"&gt;="&amp;$D78,'Time Entries'!$F:$F,"&lt;="&amp;$E78,'Time Entries'!$P:$P,"&lt;&gt;Draft",'Time Entries'!$P:$P,"&lt;&gt;Rejected")</f>
        <v/>
      </c>
      <c r="I78" s="20">
        <f>SUMIFS('Time Entries'!$L:$L,'Time Entries'!$B:$B,$B78,'Time Entries'!$F:$F,"&gt;="&amp;$D78,'Time Entries'!$F:$F,"&lt;="&amp;$E78,'Time Entries'!$P:$P,"&lt;&gt;Draft",'Time Entries'!$P:$P,"&lt;&gt;Rejected")</f>
        <v/>
      </c>
      <c r="J78" s="20">
        <f>SUMIFS('Time Entries'!$M:$M,'Time Entries'!$B:$B,$B78,'Time Entries'!$F:$F,"&gt;="&amp;$D78,'Time Entries'!$F:$F,"&lt;="&amp;$E78,'Time Entries'!$P:$P,"&lt;&gt;Draft",'Time Entries'!$P:$P,"&lt;&gt;Rejected")</f>
        <v/>
      </c>
      <c r="K78" s="20">
        <f>SUMIFS('Time Entries'!$N:$N,'Time Entries'!$B:$B,$B78,'Time Entries'!$F:$F,"&gt;="&amp;$D78,'Time Entries'!$F:$F,"&lt;="&amp;$E78,'Time Entries'!$P:$P,"&lt;&gt;Draft",'Time Entries'!$P:$P,"&lt;&gt;Rejected")</f>
        <v/>
      </c>
      <c r="L78" s="20">
        <f>I78+J78-K78</f>
        <v/>
      </c>
      <c r="M78" s="21" t="n"/>
      <c r="N78" s="21" t="n"/>
    </row>
    <row r="79">
      <c r="C79">
        <f>IFERROR(VLOOKUP(B79,Workers!$A:$H,2,FALSE),"")</f>
        <v/>
      </c>
      <c r="D79" s="17" t="n"/>
      <c r="E79" s="17" t="n"/>
      <c r="H79" s="19">
        <f>SUMIFS('Time Entries'!$J:$J,'Time Entries'!$B:$B,$B79,'Time Entries'!$F:$F,"&gt;="&amp;$D79,'Time Entries'!$F:$F,"&lt;="&amp;$E79,'Time Entries'!$P:$P,"&lt;&gt;Draft",'Time Entries'!$P:$P,"&lt;&gt;Rejected")</f>
        <v/>
      </c>
      <c r="I79" s="20">
        <f>SUMIFS('Time Entries'!$L:$L,'Time Entries'!$B:$B,$B79,'Time Entries'!$F:$F,"&gt;="&amp;$D79,'Time Entries'!$F:$F,"&lt;="&amp;$E79,'Time Entries'!$P:$P,"&lt;&gt;Draft",'Time Entries'!$P:$P,"&lt;&gt;Rejected")</f>
        <v/>
      </c>
      <c r="J79" s="20">
        <f>SUMIFS('Time Entries'!$M:$M,'Time Entries'!$B:$B,$B79,'Time Entries'!$F:$F,"&gt;="&amp;$D79,'Time Entries'!$F:$F,"&lt;="&amp;$E79,'Time Entries'!$P:$P,"&lt;&gt;Draft",'Time Entries'!$P:$P,"&lt;&gt;Rejected")</f>
        <v/>
      </c>
      <c r="K79" s="20">
        <f>SUMIFS('Time Entries'!$N:$N,'Time Entries'!$B:$B,$B79,'Time Entries'!$F:$F,"&gt;="&amp;$D79,'Time Entries'!$F:$F,"&lt;="&amp;$E79,'Time Entries'!$P:$P,"&lt;&gt;Draft",'Time Entries'!$P:$P,"&lt;&gt;Rejected")</f>
        <v/>
      </c>
      <c r="L79" s="20">
        <f>I79+J79-K79</f>
        <v/>
      </c>
      <c r="M79" s="21" t="n"/>
      <c r="N79" s="21" t="n"/>
    </row>
    <row r="80">
      <c r="C80">
        <f>IFERROR(VLOOKUP(B80,Workers!$A:$H,2,FALSE),"")</f>
        <v/>
      </c>
      <c r="D80" s="17" t="n"/>
      <c r="E80" s="17" t="n"/>
      <c r="H80" s="19">
        <f>SUMIFS('Time Entries'!$J:$J,'Time Entries'!$B:$B,$B80,'Time Entries'!$F:$F,"&gt;="&amp;$D80,'Time Entries'!$F:$F,"&lt;="&amp;$E80,'Time Entries'!$P:$P,"&lt;&gt;Draft",'Time Entries'!$P:$P,"&lt;&gt;Rejected")</f>
        <v/>
      </c>
      <c r="I80" s="20">
        <f>SUMIFS('Time Entries'!$L:$L,'Time Entries'!$B:$B,$B80,'Time Entries'!$F:$F,"&gt;="&amp;$D80,'Time Entries'!$F:$F,"&lt;="&amp;$E80,'Time Entries'!$P:$P,"&lt;&gt;Draft",'Time Entries'!$P:$P,"&lt;&gt;Rejected")</f>
        <v/>
      </c>
      <c r="J80" s="20">
        <f>SUMIFS('Time Entries'!$M:$M,'Time Entries'!$B:$B,$B80,'Time Entries'!$F:$F,"&gt;="&amp;$D80,'Time Entries'!$F:$F,"&lt;="&amp;$E80,'Time Entries'!$P:$P,"&lt;&gt;Draft",'Time Entries'!$P:$P,"&lt;&gt;Rejected")</f>
        <v/>
      </c>
      <c r="K80" s="20">
        <f>SUMIFS('Time Entries'!$N:$N,'Time Entries'!$B:$B,$B80,'Time Entries'!$F:$F,"&gt;="&amp;$D80,'Time Entries'!$F:$F,"&lt;="&amp;$E80,'Time Entries'!$P:$P,"&lt;&gt;Draft",'Time Entries'!$P:$P,"&lt;&gt;Rejected")</f>
        <v/>
      </c>
      <c r="L80" s="20">
        <f>I80+J80-K80</f>
        <v/>
      </c>
      <c r="M80" s="21" t="n"/>
      <c r="N80" s="21" t="n"/>
    </row>
    <row r="81">
      <c r="C81">
        <f>IFERROR(VLOOKUP(B81,Workers!$A:$H,2,FALSE),"")</f>
        <v/>
      </c>
      <c r="D81" s="17" t="n"/>
      <c r="E81" s="17" t="n"/>
      <c r="H81" s="19">
        <f>SUMIFS('Time Entries'!$J:$J,'Time Entries'!$B:$B,$B81,'Time Entries'!$F:$F,"&gt;="&amp;$D81,'Time Entries'!$F:$F,"&lt;="&amp;$E81,'Time Entries'!$P:$P,"&lt;&gt;Draft",'Time Entries'!$P:$P,"&lt;&gt;Rejected")</f>
        <v/>
      </c>
      <c r="I81" s="20">
        <f>SUMIFS('Time Entries'!$L:$L,'Time Entries'!$B:$B,$B81,'Time Entries'!$F:$F,"&gt;="&amp;$D81,'Time Entries'!$F:$F,"&lt;="&amp;$E81,'Time Entries'!$P:$P,"&lt;&gt;Draft",'Time Entries'!$P:$P,"&lt;&gt;Rejected")</f>
        <v/>
      </c>
      <c r="J81" s="20">
        <f>SUMIFS('Time Entries'!$M:$M,'Time Entries'!$B:$B,$B81,'Time Entries'!$F:$F,"&gt;="&amp;$D81,'Time Entries'!$F:$F,"&lt;="&amp;$E81,'Time Entries'!$P:$P,"&lt;&gt;Draft",'Time Entries'!$P:$P,"&lt;&gt;Rejected")</f>
        <v/>
      </c>
      <c r="K81" s="20">
        <f>SUMIFS('Time Entries'!$N:$N,'Time Entries'!$B:$B,$B81,'Time Entries'!$F:$F,"&gt;="&amp;$D81,'Time Entries'!$F:$F,"&lt;="&amp;$E81,'Time Entries'!$P:$P,"&lt;&gt;Draft",'Time Entries'!$P:$P,"&lt;&gt;Rejected")</f>
        <v/>
      </c>
      <c r="L81" s="20">
        <f>I81+J81-K81</f>
        <v/>
      </c>
      <c r="M81" s="21" t="n"/>
      <c r="N81" s="21" t="n"/>
    </row>
    <row r="82">
      <c r="C82">
        <f>IFERROR(VLOOKUP(B82,Workers!$A:$H,2,FALSE),"")</f>
        <v/>
      </c>
      <c r="D82" s="17" t="n"/>
      <c r="E82" s="17" t="n"/>
      <c r="H82" s="19">
        <f>SUMIFS('Time Entries'!$J:$J,'Time Entries'!$B:$B,$B82,'Time Entries'!$F:$F,"&gt;="&amp;$D82,'Time Entries'!$F:$F,"&lt;="&amp;$E82,'Time Entries'!$P:$P,"&lt;&gt;Draft",'Time Entries'!$P:$P,"&lt;&gt;Rejected")</f>
        <v/>
      </c>
      <c r="I82" s="20">
        <f>SUMIFS('Time Entries'!$L:$L,'Time Entries'!$B:$B,$B82,'Time Entries'!$F:$F,"&gt;="&amp;$D82,'Time Entries'!$F:$F,"&lt;="&amp;$E82,'Time Entries'!$P:$P,"&lt;&gt;Draft",'Time Entries'!$P:$P,"&lt;&gt;Rejected")</f>
        <v/>
      </c>
      <c r="J82" s="20">
        <f>SUMIFS('Time Entries'!$M:$M,'Time Entries'!$B:$B,$B82,'Time Entries'!$F:$F,"&gt;="&amp;$D82,'Time Entries'!$F:$F,"&lt;="&amp;$E82,'Time Entries'!$P:$P,"&lt;&gt;Draft",'Time Entries'!$P:$P,"&lt;&gt;Rejected")</f>
        <v/>
      </c>
      <c r="K82" s="20">
        <f>SUMIFS('Time Entries'!$N:$N,'Time Entries'!$B:$B,$B82,'Time Entries'!$F:$F,"&gt;="&amp;$D82,'Time Entries'!$F:$F,"&lt;="&amp;$E82,'Time Entries'!$P:$P,"&lt;&gt;Draft",'Time Entries'!$P:$P,"&lt;&gt;Rejected")</f>
        <v/>
      </c>
      <c r="L82" s="20">
        <f>I82+J82-K82</f>
        <v/>
      </c>
      <c r="M82" s="21" t="n"/>
      <c r="N82" s="21" t="n"/>
    </row>
    <row r="83">
      <c r="C83">
        <f>IFERROR(VLOOKUP(B83,Workers!$A:$H,2,FALSE),"")</f>
        <v/>
      </c>
      <c r="D83" s="17" t="n"/>
      <c r="E83" s="17" t="n"/>
      <c r="H83" s="19">
        <f>SUMIFS('Time Entries'!$J:$J,'Time Entries'!$B:$B,$B83,'Time Entries'!$F:$F,"&gt;="&amp;$D83,'Time Entries'!$F:$F,"&lt;="&amp;$E83,'Time Entries'!$P:$P,"&lt;&gt;Draft",'Time Entries'!$P:$P,"&lt;&gt;Rejected")</f>
        <v/>
      </c>
      <c r="I83" s="20">
        <f>SUMIFS('Time Entries'!$L:$L,'Time Entries'!$B:$B,$B83,'Time Entries'!$F:$F,"&gt;="&amp;$D83,'Time Entries'!$F:$F,"&lt;="&amp;$E83,'Time Entries'!$P:$P,"&lt;&gt;Draft",'Time Entries'!$P:$P,"&lt;&gt;Rejected")</f>
        <v/>
      </c>
      <c r="J83" s="20">
        <f>SUMIFS('Time Entries'!$M:$M,'Time Entries'!$B:$B,$B83,'Time Entries'!$F:$F,"&gt;="&amp;$D83,'Time Entries'!$F:$F,"&lt;="&amp;$E83,'Time Entries'!$P:$P,"&lt;&gt;Draft",'Time Entries'!$P:$P,"&lt;&gt;Rejected")</f>
        <v/>
      </c>
      <c r="K83" s="20">
        <f>SUMIFS('Time Entries'!$N:$N,'Time Entries'!$B:$B,$B83,'Time Entries'!$F:$F,"&gt;="&amp;$D83,'Time Entries'!$F:$F,"&lt;="&amp;$E83,'Time Entries'!$P:$P,"&lt;&gt;Draft",'Time Entries'!$P:$P,"&lt;&gt;Rejected")</f>
        <v/>
      </c>
      <c r="L83" s="20">
        <f>I83+J83-K83</f>
        <v/>
      </c>
      <c r="M83" s="21" t="n"/>
      <c r="N83" s="21" t="n"/>
    </row>
    <row r="84">
      <c r="C84">
        <f>IFERROR(VLOOKUP(B84,Workers!$A:$H,2,FALSE),"")</f>
        <v/>
      </c>
      <c r="D84" s="17" t="n"/>
      <c r="E84" s="17" t="n"/>
      <c r="H84" s="19">
        <f>SUMIFS('Time Entries'!$J:$J,'Time Entries'!$B:$B,$B84,'Time Entries'!$F:$F,"&gt;="&amp;$D84,'Time Entries'!$F:$F,"&lt;="&amp;$E84,'Time Entries'!$P:$P,"&lt;&gt;Draft",'Time Entries'!$P:$P,"&lt;&gt;Rejected")</f>
        <v/>
      </c>
      <c r="I84" s="20">
        <f>SUMIFS('Time Entries'!$L:$L,'Time Entries'!$B:$B,$B84,'Time Entries'!$F:$F,"&gt;="&amp;$D84,'Time Entries'!$F:$F,"&lt;="&amp;$E84,'Time Entries'!$P:$P,"&lt;&gt;Draft",'Time Entries'!$P:$P,"&lt;&gt;Rejected")</f>
        <v/>
      </c>
      <c r="J84" s="20">
        <f>SUMIFS('Time Entries'!$M:$M,'Time Entries'!$B:$B,$B84,'Time Entries'!$F:$F,"&gt;="&amp;$D84,'Time Entries'!$F:$F,"&lt;="&amp;$E84,'Time Entries'!$P:$P,"&lt;&gt;Draft",'Time Entries'!$P:$P,"&lt;&gt;Rejected")</f>
        <v/>
      </c>
      <c r="K84" s="20">
        <f>SUMIFS('Time Entries'!$N:$N,'Time Entries'!$B:$B,$B84,'Time Entries'!$F:$F,"&gt;="&amp;$D84,'Time Entries'!$F:$F,"&lt;="&amp;$E84,'Time Entries'!$P:$P,"&lt;&gt;Draft",'Time Entries'!$P:$P,"&lt;&gt;Rejected")</f>
        <v/>
      </c>
      <c r="L84" s="20">
        <f>I84+J84-K84</f>
        <v/>
      </c>
      <c r="M84" s="21" t="n"/>
      <c r="N84" s="21" t="n"/>
    </row>
    <row r="85">
      <c r="C85">
        <f>IFERROR(VLOOKUP(B85,Workers!$A:$H,2,FALSE),"")</f>
        <v/>
      </c>
      <c r="D85" s="17" t="n"/>
      <c r="E85" s="17" t="n"/>
      <c r="H85" s="19">
        <f>SUMIFS('Time Entries'!$J:$J,'Time Entries'!$B:$B,$B85,'Time Entries'!$F:$F,"&gt;="&amp;$D85,'Time Entries'!$F:$F,"&lt;="&amp;$E85,'Time Entries'!$P:$P,"&lt;&gt;Draft",'Time Entries'!$P:$P,"&lt;&gt;Rejected")</f>
        <v/>
      </c>
      <c r="I85" s="20">
        <f>SUMIFS('Time Entries'!$L:$L,'Time Entries'!$B:$B,$B85,'Time Entries'!$F:$F,"&gt;="&amp;$D85,'Time Entries'!$F:$F,"&lt;="&amp;$E85,'Time Entries'!$P:$P,"&lt;&gt;Draft",'Time Entries'!$P:$P,"&lt;&gt;Rejected")</f>
        <v/>
      </c>
      <c r="J85" s="20">
        <f>SUMIFS('Time Entries'!$M:$M,'Time Entries'!$B:$B,$B85,'Time Entries'!$F:$F,"&gt;="&amp;$D85,'Time Entries'!$F:$F,"&lt;="&amp;$E85,'Time Entries'!$P:$P,"&lt;&gt;Draft",'Time Entries'!$P:$P,"&lt;&gt;Rejected")</f>
        <v/>
      </c>
      <c r="K85" s="20">
        <f>SUMIFS('Time Entries'!$N:$N,'Time Entries'!$B:$B,$B85,'Time Entries'!$F:$F,"&gt;="&amp;$D85,'Time Entries'!$F:$F,"&lt;="&amp;$E85,'Time Entries'!$P:$P,"&lt;&gt;Draft",'Time Entries'!$P:$P,"&lt;&gt;Rejected")</f>
        <v/>
      </c>
      <c r="L85" s="20">
        <f>I85+J85-K85</f>
        <v/>
      </c>
      <c r="M85" s="21" t="n"/>
      <c r="N85" s="21" t="n"/>
    </row>
    <row r="86">
      <c r="C86">
        <f>IFERROR(VLOOKUP(B86,Workers!$A:$H,2,FALSE),"")</f>
        <v/>
      </c>
      <c r="D86" s="17" t="n"/>
      <c r="E86" s="17" t="n"/>
      <c r="H86" s="19">
        <f>SUMIFS('Time Entries'!$J:$J,'Time Entries'!$B:$B,$B86,'Time Entries'!$F:$F,"&gt;="&amp;$D86,'Time Entries'!$F:$F,"&lt;="&amp;$E86,'Time Entries'!$P:$P,"&lt;&gt;Draft",'Time Entries'!$P:$P,"&lt;&gt;Rejected")</f>
        <v/>
      </c>
      <c r="I86" s="20">
        <f>SUMIFS('Time Entries'!$L:$L,'Time Entries'!$B:$B,$B86,'Time Entries'!$F:$F,"&gt;="&amp;$D86,'Time Entries'!$F:$F,"&lt;="&amp;$E86,'Time Entries'!$P:$P,"&lt;&gt;Draft",'Time Entries'!$P:$P,"&lt;&gt;Rejected")</f>
        <v/>
      </c>
      <c r="J86" s="20">
        <f>SUMIFS('Time Entries'!$M:$M,'Time Entries'!$B:$B,$B86,'Time Entries'!$F:$F,"&gt;="&amp;$D86,'Time Entries'!$F:$F,"&lt;="&amp;$E86,'Time Entries'!$P:$P,"&lt;&gt;Draft",'Time Entries'!$P:$P,"&lt;&gt;Rejected")</f>
        <v/>
      </c>
      <c r="K86" s="20">
        <f>SUMIFS('Time Entries'!$N:$N,'Time Entries'!$B:$B,$B86,'Time Entries'!$F:$F,"&gt;="&amp;$D86,'Time Entries'!$F:$F,"&lt;="&amp;$E86,'Time Entries'!$P:$P,"&lt;&gt;Draft",'Time Entries'!$P:$P,"&lt;&gt;Rejected")</f>
        <v/>
      </c>
      <c r="L86" s="20">
        <f>I86+J86-K86</f>
        <v/>
      </c>
      <c r="M86" s="21" t="n"/>
      <c r="N86" s="21" t="n"/>
    </row>
    <row r="87">
      <c r="C87">
        <f>IFERROR(VLOOKUP(B87,Workers!$A:$H,2,FALSE),"")</f>
        <v/>
      </c>
      <c r="D87" s="17" t="n"/>
      <c r="E87" s="17" t="n"/>
      <c r="H87" s="19">
        <f>SUMIFS('Time Entries'!$J:$J,'Time Entries'!$B:$B,$B87,'Time Entries'!$F:$F,"&gt;="&amp;$D87,'Time Entries'!$F:$F,"&lt;="&amp;$E87,'Time Entries'!$P:$P,"&lt;&gt;Draft",'Time Entries'!$P:$P,"&lt;&gt;Rejected")</f>
        <v/>
      </c>
      <c r="I87" s="20">
        <f>SUMIFS('Time Entries'!$L:$L,'Time Entries'!$B:$B,$B87,'Time Entries'!$F:$F,"&gt;="&amp;$D87,'Time Entries'!$F:$F,"&lt;="&amp;$E87,'Time Entries'!$P:$P,"&lt;&gt;Draft",'Time Entries'!$P:$P,"&lt;&gt;Rejected")</f>
        <v/>
      </c>
      <c r="J87" s="20">
        <f>SUMIFS('Time Entries'!$M:$M,'Time Entries'!$B:$B,$B87,'Time Entries'!$F:$F,"&gt;="&amp;$D87,'Time Entries'!$F:$F,"&lt;="&amp;$E87,'Time Entries'!$P:$P,"&lt;&gt;Draft",'Time Entries'!$P:$P,"&lt;&gt;Rejected")</f>
        <v/>
      </c>
      <c r="K87" s="20">
        <f>SUMIFS('Time Entries'!$N:$N,'Time Entries'!$B:$B,$B87,'Time Entries'!$F:$F,"&gt;="&amp;$D87,'Time Entries'!$F:$F,"&lt;="&amp;$E87,'Time Entries'!$P:$P,"&lt;&gt;Draft",'Time Entries'!$P:$P,"&lt;&gt;Rejected")</f>
        <v/>
      </c>
      <c r="L87" s="20">
        <f>I87+J87-K87</f>
        <v/>
      </c>
      <c r="M87" s="21" t="n"/>
      <c r="N87" s="21" t="n"/>
    </row>
    <row r="88">
      <c r="C88">
        <f>IFERROR(VLOOKUP(B88,Workers!$A:$H,2,FALSE),"")</f>
        <v/>
      </c>
      <c r="D88" s="17" t="n"/>
      <c r="E88" s="17" t="n"/>
      <c r="H88" s="19">
        <f>SUMIFS('Time Entries'!$J:$J,'Time Entries'!$B:$B,$B88,'Time Entries'!$F:$F,"&gt;="&amp;$D88,'Time Entries'!$F:$F,"&lt;="&amp;$E88,'Time Entries'!$P:$P,"&lt;&gt;Draft",'Time Entries'!$P:$P,"&lt;&gt;Rejected")</f>
        <v/>
      </c>
      <c r="I88" s="20">
        <f>SUMIFS('Time Entries'!$L:$L,'Time Entries'!$B:$B,$B88,'Time Entries'!$F:$F,"&gt;="&amp;$D88,'Time Entries'!$F:$F,"&lt;="&amp;$E88,'Time Entries'!$P:$P,"&lt;&gt;Draft",'Time Entries'!$P:$P,"&lt;&gt;Rejected")</f>
        <v/>
      </c>
      <c r="J88" s="20">
        <f>SUMIFS('Time Entries'!$M:$M,'Time Entries'!$B:$B,$B88,'Time Entries'!$F:$F,"&gt;="&amp;$D88,'Time Entries'!$F:$F,"&lt;="&amp;$E88,'Time Entries'!$P:$P,"&lt;&gt;Draft",'Time Entries'!$P:$P,"&lt;&gt;Rejected")</f>
        <v/>
      </c>
      <c r="K88" s="20">
        <f>SUMIFS('Time Entries'!$N:$N,'Time Entries'!$B:$B,$B88,'Time Entries'!$F:$F,"&gt;="&amp;$D88,'Time Entries'!$F:$F,"&lt;="&amp;$E88,'Time Entries'!$P:$P,"&lt;&gt;Draft",'Time Entries'!$P:$P,"&lt;&gt;Rejected")</f>
        <v/>
      </c>
      <c r="L88" s="20">
        <f>I88+J88-K88</f>
        <v/>
      </c>
      <c r="M88" s="21" t="n"/>
      <c r="N88" s="21" t="n"/>
    </row>
    <row r="89">
      <c r="C89">
        <f>IFERROR(VLOOKUP(B89,Workers!$A:$H,2,FALSE),"")</f>
        <v/>
      </c>
      <c r="D89" s="17" t="n"/>
      <c r="E89" s="17" t="n"/>
      <c r="H89" s="19">
        <f>SUMIFS('Time Entries'!$J:$J,'Time Entries'!$B:$B,$B89,'Time Entries'!$F:$F,"&gt;="&amp;$D89,'Time Entries'!$F:$F,"&lt;="&amp;$E89,'Time Entries'!$P:$P,"&lt;&gt;Draft",'Time Entries'!$P:$P,"&lt;&gt;Rejected")</f>
        <v/>
      </c>
      <c r="I89" s="20">
        <f>SUMIFS('Time Entries'!$L:$L,'Time Entries'!$B:$B,$B89,'Time Entries'!$F:$F,"&gt;="&amp;$D89,'Time Entries'!$F:$F,"&lt;="&amp;$E89,'Time Entries'!$P:$P,"&lt;&gt;Draft",'Time Entries'!$P:$P,"&lt;&gt;Rejected")</f>
        <v/>
      </c>
      <c r="J89" s="20">
        <f>SUMIFS('Time Entries'!$M:$M,'Time Entries'!$B:$B,$B89,'Time Entries'!$F:$F,"&gt;="&amp;$D89,'Time Entries'!$F:$F,"&lt;="&amp;$E89,'Time Entries'!$P:$P,"&lt;&gt;Draft",'Time Entries'!$P:$P,"&lt;&gt;Rejected")</f>
        <v/>
      </c>
      <c r="K89" s="20">
        <f>SUMIFS('Time Entries'!$N:$N,'Time Entries'!$B:$B,$B89,'Time Entries'!$F:$F,"&gt;="&amp;$D89,'Time Entries'!$F:$F,"&lt;="&amp;$E89,'Time Entries'!$P:$P,"&lt;&gt;Draft",'Time Entries'!$P:$P,"&lt;&gt;Rejected")</f>
        <v/>
      </c>
      <c r="L89" s="20">
        <f>I89+J89-K89</f>
        <v/>
      </c>
      <c r="M89" s="21" t="n"/>
      <c r="N89" s="21" t="n"/>
    </row>
    <row r="90">
      <c r="C90">
        <f>IFERROR(VLOOKUP(B90,Workers!$A:$H,2,FALSE),"")</f>
        <v/>
      </c>
      <c r="D90" s="17" t="n"/>
      <c r="E90" s="17" t="n"/>
      <c r="H90" s="19">
        <f>SUMIFS('Time Entries'!$J:$J,'Time Entries'!$B:$B,$B90,'Time Entries'!$F:$F,"&gt;="&amp;$D90,'Time Entries'!$F:$F,"&lt;="&amp;$E90,'Time Entries'!$P:$P,"&lt;&gt;Draft",'Time Entries'!$P:$P,"&lt;&gt;Rejected")</f>
        <v/>
      </c>
      <c r="I90" s="20">
        <f>SUMIFS('Time Entries'!$L:$L,'Time Entries'!$B:$B,$B90,'Time Entries'!$F:$F,"&gt;="&amp;$D90,'Time Entries'!$F:$F,"&lt;="&amp;$E90,'Time Entries'!$P:$P,"&lt;&gt;Draft",'Time Entries'!$P:$P,"&lt;&gt;Rejected")</f>
        <v/>
      </c>
      <c r="J90" s="20">
        <f>SUMIFS('Time Entries'!$M:$M,'Time Entries'!$B:$B,$B90,'Time Entries'!$F:$F,"&gt;="&amp;$D90,'Time Entries'!$F:$F,"&lt;="&amp;$E90,'Time Entries'!$P:$P,"&lt;&gt;Draft",'Time Entries'!$P:$P,"&lt;&gt;Rejected")</f>
        <v/>
      </c>
      <c r="K90" s="20">
        <f>SUMIFS('Time Entries'!$N:$N,'Time Entries'!$B:$B,$B90,'Time Entries'!$F:$F,"&gt;="&amp;$D90,'Time Entries'!$F:$F,"&lt;="&amp;$E90,'Time Entries'!$P:$P,"&lt;&gt;Draft",'Time Entries'!$P:$P,"&lt;&gt;Rejected")</f>
        <v/>
      </c>
      <c r="L90" s="20">
        <f>I90+J90-K90</f>
        <v/>
      </c>
      <c r="M90" s="21" t="n"/>
      <c r="N90" s="21" t="n"/>
    </row>
    <row r="91">
      <c r="C91">
        <f>IFERROR(VLOOKUP(B91,Workers!$A:$H,2,FALSE),"")</f>
        <v/>
      </c>
      <c r="D91" s="17" t="n"/>
      <c r="E91" s="17" t="n"/>
      <c r="H91" s="19">
        <f>SUMIFS('Time Entries'!$J:$J,'Time Entries'!$B:$B,$B91,'Time Entries'!$F:$F,"&gt;="&amp;$D91,'Time Entries'!$F:$F,"&lt;="&amp;$E91,'Time Entries'!$P:$P,"&lt;&gt;Draft",'Time Entries'!$P:$P,"&lt;&gt;Rejected")</f>
        <v/>
      </c>
      <c r="I91" s="20">
        <f>SUMIFS('Time Entries'!$L:$L,'Time Entries'!$B:$B,$B91,'Time Entries'!$F:$F,"&gt;="&amp;$D91,'Time Entries'!$F:$F,"&lt;="&amp;$E91,'Time Entries'!$P:$P,"&lt;&gt;Draft",'Time Entries'!$P:$P,"&lt;&gt;Rejected")</f>
        <v/>
      </c>
      <c r="J91" s="20">
        <f>SUMIFS('Time Entries'!$M:$M,'Time Entries'!$B:$B,$B91,'Time Entries'!$F:$F,"&gt;="&amp;$D91,'Time Entries'!$F:$F,"&lt;="&amp;$E91,'Time Entries'!$P:$P,"&lt;&gt;Draft",'Time Entries'!$P:$P,"&lt;&gt;Rejected")</f>
        <v/>
      </c>
      <c r="K91" s="20">
        <f>SUMIFS('Time Entries'!$N:$N,'Time Entries'!$B:$B,$B91,'Time Entries'!$F:$F,"&gt;="&amp;$D91,'Time Entries'!$F:$F,"&lt;="&amp;$E91,'Time Entries'!$P:$P,"&lt;&gt;Draft",'Time Entries'!$P:$P,"&lt;&gt;Rejected")</f>
        <v/>
      </c>
      <c r="L91" s="20">
        <f>I91+J91-K91</f>
        <v/>
      </c>
      <c r="M91" s="21" t="n"/>
      <c r="N91" s="21" t="n"/>
    </row>
    <row r="92">
      <c r="C92">
        <f>IFERROR(VLOOKUP(B92,Workers!$A:$H,2,FALSE),"")</f>
        <v/>
      </c>
      <c r="D92" s="17" t="n"/>
      <c r="E92" s="17" t="n"/>
      <c r="H92" s="19">
        <f>SUMIFS('Time Entries'!$J:$J,'Time Entries'!$B:$B,$B92,'Time Entries'!$F:$F,"&gt;="&amp;$D92,'Time Entries'!$F:$F,"&lt;="&amp;$E92,'Time Entries'!$P:$P,"&lt;&gt;Draft",'Time Entries'!$P:$P,"&lt;&gt;Rejected")</f>
        <v/>
      </c>
      <c r="I92" s="20">
        <f>SUMIFS('Time Entries'!$L:$L,'Time Entries'!$B:$B,$B92,'Time Entries'!$F:$F,"&gt;="&amp;$D92,'Time Entries'!$F:$F,"&lt;="&amp;$E92,'Time Entries'!$P:$P,"&lt;&gt;Draft",'Time Entries'!$P:$P,"&lt;&gt;Rejected")</f>
        <v/>
      </c>
      <c r="J92" s="20">
        <f>SUMIFS('Time Entries'!$M:$M,'Time Entries'!$B:$B,$B92,'Time Entries'!$F:$F,"&gt;="&amp;$D92,'Time Entries'!$F:$F,"&lt;="&amp;$E92,'Time Entries'!$P:$P,"&lt;&gt;Draft",'Time Entries'!$P:$P,"&lt;&gt;Rejected")</f>
        <v/>
      </c>
      <c r="K92" s="20">
        <f>SUMIFS('Time Entries'!$N:$N,'Time Entries'!$B:$B,$B92,'Time Entries'!$F:$F,"&gt;="&amp;$D92,'Time Entries'!$F:$F,"&lt;="&amp;$E92,'Time Entries'!$P:$P,"&lt;&gt;Draft",'Time Entries'!$P:$P,"&lt;&gt;Rejected")</f>
        <v/>
      </c>
      <c r="L92" s="20">
        <f>I92+J92-K92</f>
        <v/>
      </c>
      <c r="M92" s="21" t="n"/>
      <c r="N92" s="21" t="n"/>
    </row>
    <row r="93">
      <c r="C93">
        <f>IFERROR(VLOOKUP(B93,Workers!$A:$H,2,FALSE),"")</f>
        <v/>
      </c>
      <c r="D93" s="17" t="n"/>
      <c r="E93" s="17" t="n"/>
      <c r="H93" s="19">
        <f>SUMIFS('Time Entries'!$J:$J,'Time Entries'!$B:$B,$B93,'Time Entries'!$F:$F,"&gt;="&amp;$D93,'Time Entries'!$F:$F,"&lt;="&amp;$E93,'Time Entries'!$P:$P,"&lt;&gt;Draft",'Time Entries'!$P:$P,"&lt;&gt;Rejected")</f>
        <v/>
      </c>
      <c r="I93" s="20">
        <f>SUMIFS('Time Entries'!$L:$L,'Time Entries'!$B:$B,$B93,'Time Entries'!$F:$F,"&gt;="&amp;$D93,'Time Entries'!$F:$F,"&lt;="&amp;$E93,'Time Entries'!$P:$P,"&lt;&gt;Draft",'Time Entries'!$P:$P,"&lt;&gt;Rejected")</f>
        <v/>
      </c>
      <c r="J93" s="20">
        <f>SUMIFS('Time Entries'!$M:$M,'Time Entries'!$B:$B,$B93,'Time Entries'!$F:$F,"&gt;="&amp;$D93,'Time Entries'!$F:$F,"&lt;="&amp;$E93,'Time Entries'!$P:$P,"&lt;&gt;Draft",'Time Entries'!$P:$P,"&lt;&gt;Rejected")</f>
        <v/>
      </c>
      <c r="K93" s="20">
        <f>SUMIFS('Time Entries'!$N:$N,'Time Entries'!$B:$B,$B93,'Time Entries'!$F:$F,"&gt;="&amp;$D93,'Time Entries'!$F:$F,"&lt;="&amp;$E93,'Time Entries'!$P:$P,"&lt;&gt;Draft",'Time Entries'!$P:$P,"&lt;&gt;Rejected")</f>
        <v/>
      </c>
      <c r="L93" s="20">
        <f>I93+J93-K93</f>
        <v/>
      </c>
      <c r="M93" s="21" t="n"/>
      <c r="N93" s="21" t="n"/>
    </row>
    <row r="94">
      <c r="C94">
        <f>IFERROR(VLOOKUP(B94,Workers!$A:$H,2,FALSE),"")</f>
        <v/>
      </c>
      <c r="D94" s="17" t="n"/>
      <c r="E94" s="17" t="n"/>
      <c r="H94" s="19">
        <f>SUMIFS('Time Entries'!$J:$J,'Time Entries'!$B:$B,$B94,'Time Entries'!$F:$F,"&gt;="&amp;$D94,'Time Entries'!$F:$F,"&lt;="&amp;$E94,'Time Entries'!$P:$P,"&lt;&gt;Draft",'Time Entries'!$P:$P,"&lt;&gt;Rejected")</f>
        <v/>
      </c>
      <c r="I94" s="20">
        <f>SUMIFS('Time Entries'!$L:$L,'Time Entries'!$B:$B,$B94,'Time Entries'!$F:$F,"&gt;="&amp;$D94,'Time Entries'!$F:$F,"&lt;="&amp;$E94,'Time Entries'!$P:$P,"&lt;&gt;Draft",'Time Entries'!$P:$P,"&lt;&gt;Rejected")</f>
        <v/>
      </c>
      <c r="J94" s="20">
        <f>SUMIFS('Time Entries'!$M:$M,'Time Entries'!$B:$B,$B94,'Time Entries'!$F:$F,"&gt;="&amp;$D94,'Time Entries'!$F:$F,"&lt;="&amp;$E94,'Time Entries'!$P:$P,"&lt;&gt;Draft",'Time Entries'!$P:$P,"&lt;&gt;Rejected")</f>
        <v/>
      </c>
      <c r="K94" s="20">
        <f>SUMIFS('Time Entries'!$N:$N,'Time Entries'!$B:$B,$B94,'Time Entries'!$F:$F,"&gt;="&amp;$D94,'Time Entries'!$F:$F,"&lt;="&amp;$E94,'Time Entries'!$P:$P,"&lt;&gt;Draft",'Time Entries'!$P:$P,"&lt;&gt;Rejected")</f>
        <v/>
      </c>
      <c r="L94" s="20">
        <f>I94+J94-K94</f>
        <v/>
      </c>
      <c r="M94" s="21" t="n"/>
      <c r="N94" s="21" t="n"/>
    </row>
    <row r="95">
      <c r="C95">
        <f>IFERROR(VLOOKUP(B95,Workers!$A:$H,2,FALSE),"")</f>
        <v/>
      </c>
      <c r="D95" s="17" t="n"/>
      <c r="E95" s="17" t="n"/>
      <c r="H95" s="19">
        <f>SUMIFS('Time Entries'!$J:$J,'Time Entries'!$B:$B,$B95,'Time Entries'!$F:$F,"&gt;="&amp;$D95,'Time Entries'!$F:$F,"&lt;="&amp;$E95,'Time Entries'!$P:$P,"&lt;&gt;Draft",'Time Entries'!$P:$P,"&lt;&gt;Rejected")</f>
        <v/>
      </c>
      <c r="I95" s="20">
        <f>SUMIFS('Time Entries'!$L:$L,'Time Entries'!$B:$B,$B95,'Time Entries'!$F:$F,"&gt;="&amp;$D95,'Time Entries'!$F:$F,"&lt;="&amp;$E95,'Time Entries'!$P:$P,"&lt;&gt;Draft",'Time Entries'!$P:$P,"&lt;&gt;Rejected")</f>
        <v/>
      </c>
      <c r="J95" s="20">
        <f>SUMIFS('Time Entries'!$M:$M,'Time Entries'!$B:$B,$B95,'Time Entries'!$F:$F,"&gt;="&amp;$D95,'Time Entries'!$F:$F,"&lt;="&amp;$E95,'Time Entries'!$P:$P,"&lt;&gt;Draft",'Time Entries'!$P:$P,"&lt;&gt;Rejected")</f>
        <v/>
      </c>
      <c r="K95" s="20">
        <f>SUMIFS('Time Entries'!$N:$N,'Time Entries'!$B:$B,$B95,'Time Entries'!$F:$F,"&gt;="&amp;$D95,'Time Entries'!$F:$F,"&lt;="&amp;$E95,'Time Entries'!$P:$P,"&lt;&gt;Draft",'Time Entries'!$P:$P,"&lt;&gt;Rejected")</f>
        <v/>
      </c>
      <c r="L95" s="20">
        <f>I95+J95-K95</f>
        <v/>
      </c>
      <c r="M95" s="21" t="n"/>
      <c r="N95" s="21" t="n"/>
    </row>
    <row r="96">
      <c r="C96">
        <f>IFERROR(VLOOKUP(B96,Workers!$A:$H,2,FALSE),"")</f>
        <v/>
      </c>
      <c r="D96" s="17" t="n"/>
      <c r="E96" s="17" t="n"/>
      <c r="H96" s="19">
        <f>SUMIFS('Time Entries'!$J:$J,'Time Entries'!$B:$B,$B96,'Time Entries'!$F:$F,"&gt;="&amp;$D96,'Time Entries'!$F:$F,"&lt;="&amp;$E96,'Time Entries'!$P:$P,"&lt;&gt;Draft",'Time Entries'!$P:$P,"&lt;&gt;Rejected")</f>
        <v/>
      </c>
      <c r="I96" s="20">
        <f>SUMIFS('Time Entries'!$L:$L,'Time Entries'!$B:$B,$B96,'Time Entries'!$F:$F,"&gt;="&amp;$D96,'Time Entries'!$F:$F,"&lt;="&amp;$E96,'Time Entries'!$P:$P,"&lt;&gt;Draft",'Time Entries'!$P:$P,"&lt;&gt;Rejected")</f>
        <v/>
      </c>
      <c r="J96" s="20">
        <f>SUMIFS('Time Entries'!$M:$M,'Time Entries'!$B:$B,$B96,'Time Entries'!$F:$F,"&gt;="&amp;$D96,'Time Entries'!$F:$F,"&lt;="&amp;$E96,'Time Entries'!$P:$P,"&lt;&gt;Draft",'Time Entries'!$P:$P,"&lt;&gt;Rejected")</f>
        <v/>
      </c>
      <c r="K96" s="20">
        <f>SUMIFS('Time Entries'!$N:$N,'Time Entries'!$B:$B,$B96,'Time Entries'!$F:$F,"&gt;="&amp;$D96,'Time Entries'!$F:$F,"&lt;="&amp;$E96,'Time Entries'!$P:$P,"&lt;&gt;Draft",'Time Entries'!$P:$P,"&lt;&gt;Rejected")</f>
        <v/>
      </c>
      <c r="L96" s="20">
        <f>I96+J96-K96</f>
        <v/>
      </c>
      <c r="M96" s="21" t="n"/>
      <c r="N96" s="21" t="n"/>
    </row>
    <row r="97">
      <c r="C97">
        <f>IFERROR(VLOOKUP(B97,Workers!$A:$H,2,FALSE),"")</f>
        <v/>
      </c>
      <c r="D97" s="17" t="n"/>
      <c r="E97" s="17" t="n"/>
      <c r="H97" s="19">
        <f>SUMIFS('Time Entries'!$J:$J,'Time Entries'!$B:$B,$B97,'Time Entries'!$F:$F,"&gt;="&amp;$D97,'Time Entries'!$F:$F,"&lt;="&amp;$E97,'Time Entries'!$P:$P,"&lt;&gt;Draft",'Time Entries'!$P:$P,"&lt;&gt;Rejected")</f>
        <v/>
      </c>
      <c r="I97" s="20">
        <f>SUMIFS('Time Entries'!$L:$L,'Time Entries'!$B:$B,$B97,'Time Entries'!$F:$F,"&gt;="&amp;$D97,'Time Entries'!$F:$F,"&lt;="&amp;$E97,'Time Entries'!$P:$P,"&lt;&gt;Draft",'Time Entries'!$P:$P,"&lt;&gt;Rejected")</f>
        <v/>
      </c>
      <c r="J97" s="20">
        <f>SUMIFS('Time Entries'!$M:$M,'Time Entries'!$B:$B,$B97,'Time Entries'!$F:$F,"&gt;="&amp;$D97,'Time Entries'!$F:$F,"&lt;="&amp;$E97,'Time Entries'!$P:$P,"&lt;&gt;Draft",'Time Entries'!$P:$P,"&lt;&gt;Rejected")</f>
        <v/>
      </c>
      <c r="K97" s="20">
        <f>SUMIFS('Time Entries'!$N:$N,'Time Entries'!$B:$B,$B97,'Time Entries'!$F:$F,"&gt;="&amp;$D97,'Time Entries'!$F:$F,"&lt;="&amp;$E97,'Time Entries'!$P:$P,"&lt;&gt;Draft",'Time Entries'!$P:$P,"&lt;&gt;Rejected")</f>
        <v/>
      </c>
      <c r="L97" s="20">
        <f>I97+J97-K97</f>
        <v/>
      </c>
      <c r="M97" s="21" t="n"/>
      <c r="N97" s="21" t="n"/>
    </row>
    <row r="98">
      <c r="C98">
        <f>IFERROR(VLOOKUP(B98,Workers!$A:$H,2,FALSE),"")</f>
        <v/>
      </c>
      <c r="D98" s="17" t="n"/>
      <c r="E98" s="17" t="n"/>
      <c r="H98" s="19">
        <f>SUMIFS('Time Entries'!$J:$J,'Time Entries'!$B:$B,$B98,'Time Entries'!$F:$F,"&gt;="&amp;$D98,'Time Entries'!$F:$F,"&lt;="&amp;$E98,'Time Entries'!$P:$P,"&lt;&gt;Draft",'Time Entries'!$P:$P,"&lt;&gt;Rejected")</f>
        <v/>
      </c>
      <c r="I98" s="20">
        <f>SUMIFS('Time Entries'!$L:$L,'Time Entries'!$B:$B,$B98,'Time Entries'!$F:$F,"&gt;="&amp;$D98,'Time Entries'!$F:$F,"&lt;="&amp;$E98,'Time Entries'!$P:$P,"&lt;&gt;Draft",'Time Entries'!$P:$P,"&lt;&gt;Rejected")</f>
        <v/>
      </c>
      <c r="J98" s="20">
        <f>SUMIFS('Time Entries'!$M:$M,'Time Entries'!$B:$B,$B98,'Time Entries'!$F:$F,"&gt;="&amp;$D98,'Time Entries'!$F:$F,"&lt;="&amp;$E98,'Time Entries'!$P:$P,"&lt;&gt;Draft",'Time Entries'!$P:$P,"&lt;&gt;Rejected")</f>
        <v/>
      </c>
      <c r="K98" s="20">
        <f>SUMIFS('Time Entries'!$N:$N,'Time Entries'!$B:$B,$B98,'Time Entries'!$F:$F,"&gt;="&amp;$D98,'Time Entries'!$F:$F,"&lt;="&amp;$E98,'Time Entries'!$P:$P,"&lt;&gt;Draft",'Time Entries'!$P:$P,"&lt;&gt;Rejected")</f>
        <v/>
      </c>
      <c r="L98" s="20">
        <f>I98+J98-K98</f>
        <v/>
      </c>
      <c r="M98" s="21" t="n"/>
      <c r="N98" s="21" t="n"/>
    </row>
    <row r="99">
      <c r="C99">
        <f>IFERROR(VLOOKUP(B99,Workers!$A:$H,2,FALSE),"")</f>
        <v/>
      </c>
      <c r="D99" s="17" t="n"/>
      <c r="E99" s="17" t="n"/>
      <c r="H99" s="19">
        <f>SUMIFS('Time Entries'!$J:$J,'Time Entries'!$B:$B,$B99,'Time Entries'!$F:$F,"&gt;="&amp;$D99,'Time Entries'!$F:$F,"&lt;="&amp;$E99,'Time Entries'!$P:$P,"&lt;&gt;Draft",'Time Entries'!$P:$P,"&lt;&gt;Rejected")</f>
        <v/>
      </c>
      <c r="I99" s="20">
        <f>SUMIFS('Time Entries'!$L:$L,'Time Entries'!$B:$B,$B99,'Time Entries'!$F:$F,"&gt;="&amp;$D99,'Time Entries'!$F:$F,"&lt;="&amp;$E99,'Time Entries'!$P:$P,"&lt;&gt;Draft",'Time Entries'!$P:$P,"&lt;&gt;Rejected")</f>
        <v/>
      </c>
      <c r="J99" s="20">
        <f>SUMIFS('Time Entries'!$M:$M,'Time Entries'!$B:$B,$B99,'Time Entries'!$F:$F,"&gt;="&amp;$D99,'Time Entries'!$F:$F,"&lt;="&amp;$E99,'Time Entries'!$P:$P,"&lt;&gt;Draft",'Time Entries'!$P:$P,"&lt;&gt;Rejected")</f>
        <v/>
      </c>
      <c r="K99" s="20">
        <f>SUMIFS('Time Entries'!$N:$N,'Time Entries'!$B:$B,$B99,'Time Entries'!$F:$F,"&gt;="&amp;$D99,'Time Entries'!$F:$F,"&lt;="&amp;$E99,'Time Entries'!$P:$P,"&lt;&gt;Draft",'Time Entries'!$P:$P,"&lt;&gt;Rejected")</f>
        <v/>
      </c>
      <c r="L99" s="20">
        <f>I99+J99-K99</f>
        <v/>
      </c>
      <c r="M99" s="21" t="n"/>
      <c r="N99" s="21" t="n"/>
    </row>
    <row r="100">
      <c r="C100">
        <f>IFERROR(VLOOKUP(B100,Workers!$A:$H,2,FALSE),"")</f>
        <v/>
      </c>
      <c r="D100" s="17" t="n"/>
      <c r="E100" s="17" t="n"/>
      <c r="H100" s="19">
        <f>SUMIFS('Time Entries'!$J:$J,'Time Entries'!$B:$B,$B100,'Time Entries'!$F:$F,"&gt;="&amp;$D100,'Time Entries'!$F:$F,"&lt;="&amp;$E100,'Time Entries'!$P:$P,"&lt;&gt;Draft",'Time Entries'!$P:$P,"&lt;&gt;Rejected")</f>
        <v/>
      </c>
      <c r="I100" s="20">
        <f>SUMIFS('Time Entries'!$L:$L,'Time Entries'!$B:$B,$B100,'Time Entries'!$F:$F,"&gt;="&amp;$D100,'Time Entries'!$F:$F,"&lt;="&amp;$E100,'Time Entries'!$P:$P,"&lt;&gt;Draft",'Time Entries'!$P:$P,"&lt;&gt;Rejected")</f>
        <v/>
      </c>
      <c r="J100" s="20">
        <f>SUMIFS('Time Entries'!$M:$M,'Time Entries'!$B:$B,$B100,'Time Entries'!$F:$F,"&gt;="&amp;$D100,'Time Entries'!$F:$F,"&lt;="&amp;$E100,'Time Entries'!$P:$P,"&lt;&gt;Draft",'Time Entries'!$P:$P,"&lt;&gt;Rejected")</f>
        <v/>
      </c>
      <c r="K100" s="20">
        <f>SUMIFS('Time Entries'!$N:$N,'Time Entries'!$B:$B,$B100,'Time Entries'!$F:$F,"&gt;="&amp;$D100,'Time Entries'!$F:$F,"&lt;="&amp;$E100,'Time Entries'!$P:$P,"&lt;&gt;Draft",'Time Entries'!$P:$P,"&lt;&gt;Rejected")</f>
        <v/>
      </c>
      <c r="L100" s="20">
        <f>I100+J100-K100</f>
        <v/>
      </c>
      <c r="M100" s="21" t="n"/>
      <c r="N100" s="21" t="n"/>
    </row>
  </sheetData>
  <conditionalFormatting sqref="A2:O100">
    <cfRule type="expression" priority="1" dxfId="0">
      <formula>AND($F2="Finalized",$G2="Unpaid")</formula>
    </cfRule>
  </conditionalFormatting>
  <dataValidations count="3">
    <dataValidation sqref="F2:F100" showDropDown="0" showInputMessage="0" showErrorMessage="0" allowBlank="1" errorTitle="Invalid value" error="Choose a value from Dropdown Lists." type="list">
      <formula1>'Dropdown Lists'!$D$2:$D$4</formula1>
    </dataValidation>
    <dataValidation sqref="G2:G100" showDropDown="0" showInputMessage="0" showErrorMessage="0" allowBlank="1" errorTitle="Invalid value" error="Choose a value from Dropdown Lists." type="list">
      <formula1>'Dropdown Lists'!$E$2:$E$3</formula1>
    </dataValidation>
    <dataValidation sqref="B2:B100" showDropDown="0" showInputMessage="0" showErrorMessage="0" allowBlank="1" errorTitle="Invalid value" error="Choose a value from the approved workbook range." type="list">
      <formula1>Workers!$A$2:$A$200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M34"/>
  <sheetViews>
    <sheetView showGridLines="0" workbookViewId="0">
      <pane ySplit="11" topLeftCell="A12" activePane="bottomLeft" state="frozen"/>
      <selection pane="bottomLeft" activeCell="A1" sqref="A1"/>
    </sheetView>
  </sheetViews>
  <sheetFormatPr baseColWidth="8" defaultRowHeight="15"/>
  <cols>
    <col width="18" customWidth="1" min="1" max="1"/>
    <col width="22" customWidth="1" min="2" max="2"/>
    <col width="14" customWidth="1" min="3" max="3"/>
    <col width="24" customWidth="1" min="4" max="4"/>
    <col width="12" customWidth="1" min="5" max="5"/>
    <col width="12" customWidth="1" min="6" max="6"/>
    <col width="14" customWidth="1" min="7" max="7"/>
    <col width="16" customWidth="1" min="8" max="8"/>
    <col width="12" customWidth="1" min="9" max="9"/>
    <col width="14" customWidth="1" min="10" max="10"/>
    <col width="18" customWidth="1" min="11" max="11"/>
    <col width="28" customWidth="1" min="12" max="12"/>
    <col width="34" customWidth="1" min="13" max="13"/>
  </cols>
  <sheetData>
    <row r="1">
      <c r="A1" s="22" t="inlineStr">
        <is>
          <t>CrewPay Ledger Worker Proof</t>
        </is>
      </c>
    </row>
    <row r="3">
      <c r="A3" s="23" t="inlineStr">
        <is>
          <t>Selected Worker ID</t>
        </is>
      </c>
      <c r="B3" s="11" t="inlineStr">
        <is>
          <t>W-1001</t>
        </is>
      </c>
      <c r="D3" s="3" t="inlineStr">
        <is>
          <t>Rule: Worker Proof is selected by one worker and one pay period only. It is print-ready and must not be replaced by crew-wide reports.</t>
        </is>
      </c>
    </row>
    <row r="4">
      <c r="A4" s="23" t="inlineStr">
        <is>
          <t>Selected Pay Period ID</t>
        </is>
      </c>
      <c r="B4" s="11" t="inlineStr">
        <is>
          <t>P-4001</t>
        </is>
      </c>
    </row>
    <row r="5">
      <c r="A5" s="23" t="inlineStr">
        <is>
          <t>Worker Name</t>
        </is>
      </c>
      <c r="B5" s="11">
        <f>IFERROR(VLOOKUP($B$3,Workers!$A:$H,2,FALSE),"")</f>
        <v/>
      </c>
    </row>
    <row r="6">
      <c r="A6" s="23" t="inlineStr">
        <is>
          <t>Worker Status</t>
        </is>
      </c>
      <c r="B6" s="11">
        <f>IFERROR(VLOOKUP($B$3,Workers!$A:$H,5,FALSE),"")</f>
        <v/>
      </c>
    </row>
    <row r="7">
      <c r="A7" s="23" t="inlineStr">
        <is>
          <t>Date Range</t>
        </is>
      </c>
      <c r="B7" s="11">
        <f>IFERROR(TEXT(VLOOKUP($B$4,'Pay Periods'!$A:$O,4,FALSE),"m/d/yyyy")&amp;" to "&amp;TEXT(VLOOKUP($B$4,'Pay Periods'!$A:$O,5,FALSE),"m/d/yyyy"),"")</f>
        <v/>
      </c>
    </row>
    <row r="8">
      <c r="A8" s="23" t="inlineStr">
        <is>
          <t>Payment Status</t>
        </is>
      </c>
      <c r="B8" s="11">
        <f>IFERROR(VLOOKUP($B$4,'Pay Periods'!$A:$O,7,FALSE),"")</f>
        <v/>
      </c>
    </row>
    <row r="9">
      <c r="A9" s="23" t="inlineStr">
        <is>
          <t>Generated Timestamp</t>
        </is>
      </c>
      <c r="B9" s="16">
        <f>NOW()</f>
        <v/>
      </c>
    </row>
    <row r="10">
      <c r="A10" s="23" t="inlineStr">
        <is>
          <t>Proof Selector Check</t>
        </is>
      </c>
      <c r="B10" s="11">
        <f>IFERROR(IF(VLOOKUP($B$4,'Pay Periods'!$A:$O,2,FALSE)=$B$3,"OK - worker/pay period match","CHECK SELECTION - pay period belongs to another worker"),"CHECK SELECTION")</f>
        <v/>
      </c>
    </row>
    <row r="12">
      <c r="A12" s="24" t="inlineStr">
        <is>
          <t>Entry ID</t>
        </is>
      </c>
      <c r="B12" s="24" t="inlineStr">
        <is>
          <t>Work Date</t>
        </is>
      </c>
      <c r="C12" s="24" t="inlineStr">
        <is>
          <t>Job ID</t>
        </is>
      </c>
      <c r="D12" s="24" t="inlineStr">
        <is>
          <t>Job Name</t>
        </is>
      </c>
      <c r="E12" s="24" t="inlineStr">
        <is>
          <t>Hours</t>
        </is>
      </c>
      <c r="F12" s="24" t="inlineStr">
        <is>
          <t>Rate</t>
        </is>
      </c>
      <c r="G12" s="24" t="inlineStr">
        <is>
          <t>Gross Pay</t>
        </is>
      </c>
      <c r="H12" s="24" t="inlineStr">
        <is>
          <t>Reimbursement</t>
        </is>
      </c>
      <c r="I12" s="24" t="inlineStr">
        <is>
          <t>Deduction</t>
        </is>
      </c>
      <c r="J12" s="24" t="inlineStr">
        <is>
          <t>Net Pay</t>
        </is>
      </c>
      <c r="K12" s="24" t="inlineStr">
        <is>
          <t>Approval Status</t>
        </is>
      </c>
      <c r="L12" s="24" t="inlineStr">
        <is>
          <t>Correction Note</t>
        </is>
      </c>
      <c r="M12" s="24" t="inlineStr">
        <is>
          <t>Notes</t>
        </is>
      </c>
    </row>
    <row r="13">
      <c r="A13">
        <f>IF($B$10&lt;&gt;"OK - worker/pay period match","Check selected worker/pay period before printing proof",FILTER({'Time Entries'!A2:A200,'Time Entries'!F2:F200,'Time Entries'!D2:D200,'Time Entries'!E2:E200,'Time Entries'!J2:J200,'Time Entries'!K2:K200,'Time Entries'!L2:L200,'Time Entries'!M2:M200,'Time Entries'!N2:N200,'Time Entries'!O2:O200,'Time Entries'!P2:P200,'Time Entries'!S2:S200,'Time Entries'!T2:T200},'Time Entries'!B2:B200=$B$3,'Time Entries'!F2:F200&gt;=VLOOKUP($B$4,'Pay Periods'!$A:$O,4,FALSE),'Time Entries'!F2:F200&lt;=VLOOKUP($B$4,'Pay Periods'!$A:$O,5,FALSE)))</f>
        <v/>
      </c>
    </row>
    <row r="30">
      <c r="A30" s="25" t="inlineStr">
        <is>
          <t>Total Hours</t>
        </is>
      </c>
      <c r="B30" s="19">
        <f>IF($B$10&lt;&gt;"OK - worker/pay period match",0,SUMIFS('Time Entries'!$J:$J,'Time Entries'!$B:$B,$B$3,'Time Entries'!$F:$F,"&gt;="&amp;VLOOKUP($B$4,'Pay Periods'!$A:$O,4,FALSE),'Time Entries'!$F:$F,"&lt;="&amp;VLOOKUP($B$4,'Pay Periods'!$A:$O,5,FALSE),'Time Entries'!$P:$P,"&lt;&gt;Draft",'Time Entries'!$P:$P,"&lt;&gt;Rejected"))</f>
        <v/>
      </c>
    </row>
    <row r="31">
      <c r="A31" s="25" t="inlineStr">
        <is>
          <t>Gross Pay</t>
        </is>
      </c>
      <c r="B31" s="20">
        <f>IF($B$10&lt;&gt;"OK - worker/pay period match",0,SUMIFS('Time Entries'!$L:$L,'Time Entries'!$B:$B,$B$3,'Time Entries'!$F:$F,"&gt;="&amp;VLOOKUP($B$4,'Pay Periods'!$A:$O,4,FALSE),'Time Entries'!$F:$F,"&lt;="&amp;VLOOKUP($B$4,'Pay Periods'!$A:$O,5,FALSE),'Time Entries'!$P:$P,"&lt;&gt;Draft",'Time Entries'!$P:$P,"&lt;&gt;Rejected"))</f>
        <v/>
      </c>
    </row>
    <row r="32">
      <c r="A32" s="25" t="inlineStr">
        <is>
          <t>Reimbursements</t>
        </is>
      </c>
      <c r="B32" s="20">
        <f>IF($B$10&lt;&gt;"OK - worker/pay period match",0,SUMIFS('Time Entries'!$M:$M,'Time Entries'!$B:$B,$B$3,'Time Entries'!$F:$F,"&gt;="&amp;VLOOKUP($B$4,'Pay Periods'!$A:$O,4,FALSE),'Time Entries'!$F:$F,"&lt;="&amp;VLOOKUP($B$4,'Pay Periods'!$A:$O,5,FALSE),'Time Entries'!$P:$P,"&lt;&gt;Draft",'Time Entries'!$P:$P,"&lt;&gt;Rejected"))</f>
        <v/>
      </c>
    </row>
    <row r="33">
      <c r="A33" s="25" t="inlineStr">
        <is>
          <t>Deductions</t>
        </is>
      </c>
      <c r="B33" s="20">
        <f>IF($B$10&lt;&gt;"OK - worker/pay period match",0,SUMIFS('Time Entries'!$N:$N,'Time Entries'!$B:$B,$B$3,'Time Entries'!$F:$F,"&gt;="&amp;VLOOKUP($B$4,'Pay Periods'!$A:$O,4,FALSE),'Time Entries'!$F:$F,"&lt;="&amp;VLOOKUP($B$4,'Pay Periods'!$A:$O,5,FALSE),'Time Entries'!$P:$P,"&lt;&gt;Draft",'Time Entries'!$P:$P,"&lt;&gt;Rejected"))</f>
        <v/>
      </c>
    </row>
    <row r="34">
      <c r="A34" s="25" t="inlineStr">
        <is>
          <t>Net Pay</t>
        </is>
      </c>
      <c r="B34" s="20">
        <f>B31+B32-B33</f>
        <v/>
      </c>
    </row>
  </sheetData>
  <mergeCells count="2">
    <mergeCell ref="D3:H6"/>
    <mergeCell ref="A1:H1"/>
  </mergeCells>
  <conditionalFormatting sqref="A10:B10">
    <cfRule type="expression" priority="1" dxfId="3">
      <formula>$B$10&lt;&gt;"OK - worker/pay period match"</formula>
    </cfRule>
  </conditionalFormatting>
  <dataValidations count="3">
    <dataValidation sqref="B8" showDropDown="0" showInputMessage="0" showErrorMessage="0" allowBlank="1" errorTitle="Invalid value" error="Choose a value from Dropdown Lists." type="list">
      <formula1>'Dropdown Lists'!$E$2:$E$3</formula1>
    </dataValidation>
    <dataValidation sqref="B3" showDropDown="0" showInputMessage="0" showErrorMessage="0" allowBlank="0" type="list">
      <formula1>Workers!$A$2:$A$200</formula1>
    </dataValidation>
    <dataValidation sqref="B4" showDropDown="0" showInputMessage="0" showErrorMessage="0" allowBlank="0" type="list">
      <formula1>'Pay Periods'!$A$2:$A$100</formula1>
    </dataValidation>
  </dataValidations>
  <pageMargins left="0.75" right="0.75" top="1" bottom="1" header="0.5" footer="0.5"/>
  <pageSetup orientation="landscape" fitToHeight="1" fitToWidth="1"/>
</worksheet>
</file>

<file path=xl/worksheets/sheet8.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5" customWidth="1" min="4" max="4"/>
    <col width="12" customWidth="1" min="5" max="5"/>
    <col width="18" customWidth="1" min="6" max="6"/>
    <col width="16" customWidth="1" min="7" max="7"/>
    <col width="24" customWidth="1" min="8" max="8"/>
    <col width="44" customWidth="1" min="9" max="9"/>
  </cols>
  <sheetData>
    <row r="1">
      <c r="A1" s="10" t="inlineStr">
        <is>
          <t>Export ID</t>
        </is>
      </c>
      <c r="B1" s="10" t="inlineStr">
        <is>
          <t>Worker ID</t>
        </is>
      </c>
      <c r="C1" s="10" t="inlineStr">
        <is>
          <t>Worker Name</t>
        </is>
      </c>
      <c r="D1" s="10" t="inlineStr">
        <is>
          <t>Pay Period ID</t>
        </is>
      </c>
      <c r="E1" s="10" t="inlineStr">
        <is>
          <t>Export Type</t>
        </is>
      </c>
      <c r="F1" s="10" t="inlineStr">
        <is>
          <t>Generated At</t>
        </is>
      </c>
      <c r="G1" s="10" t="inlineStr">
        <is>
          <t>Generated By</t>
        </is>
      </c>
      <c r="H1" s="10" t="inlineStr">
        <is>
          <t>Export Reference</t>
        </is>
      </c>
      <c r="I1" s="10" t="inlineStr">
        <is>
          <t>Notes</t>
        </is>
      </c>
    </row>
    <row r="2">
      <c r="A2" s="11" t="inlineStr">
        <is>
          <t>X-5001</t>
        </is>
      </c>
      <c r="B2" s="11" t="inlineStr">
        <is>
          <t>W-1001</t>
        </is>
      </c>
      <c r="C2" s="11" t="inlineStr">
        <is>
          <t>Maya Ellis</t>
        </is>
      </c>
      <c r="D2" s="11" t="inlineStr">
        <is>
          <t>P-4001</t>
        </is>
      </c>
      <c r="E2" s="11" t="inlineStr">
        <is>
          <t>Print</t>
        </is>
      </c>
      <c r="F2" s="16" t="n">
        <v>46181.50347222222</v>
      </c>
      <c r="G2" s="11" t="inlineStr">
        <is>
          <t>Admin Demo</t>
        </is>
      </c>
      <c r="H2" s="11" t="inlineStr">
        <is>
          <t>Printed proof packet</t>
        </is>
      </c>
      <c r="I2" s="11" t="inlineStr">
        <is>
          <t>Worker-specific proof generated from workbook records.</t>
        </is>
      </c>
    </row>
    <row r="3">
      <c r="A3" s="11" t="inlineStr">
        <is>
          <t>X-5002</t>
        </is>
      </c>
      <c r="B3" s="11" t="inlineStr">
        <is>
          <t>W-1003</t>
        </is>
      </c>
      <c r="C3" s="11" t="inlineStr">
        <is>
          <t>Priya Shah</t>
        </is>
      </c>
      <c r="D3" s="11" t="inlineStr">
        <is>
          <t>P-4003</t>
        </is>
      </c>
      <c r="E3" s="11" t="inlineStr">
        <is>
          <t>CSV</t>
        </is>
      </c>
      <c r="F3" s="16" t="n">
        <v>46182.39583333334</v>
      </c>
      <c r="G3" s="11" t="inlineStr">
        <is>
          <t>Admin Demo</t>
        </is>
      </c>
      <c r="H3" s="11" t="inlineStr">
        <is>
          <t>CSV proof export</t>
        </is>
      </c>
      <c r="I3" s="11" t="inlineStr">
        <is>
          <t>Inactive worker proof regenerated after access status changed.</t>
        </is>
      </c>
    </row>
  </sheetData>
  <dataValidations count="3">
    <dataValidation sqref="B2:B100" showDropDown="0" showInputMessage="0" showErrorMessage="0" allowBlank="1" errorTitle="Invalid value" error="Choose a value from the approved workbook range." type="list">
      <formula1>Workers!$A$2:$A$200</formula1>
    </dataValidation>
    <dataValidation sqref="D2:D100" showDropDown="0" showInputMessage="0" showErrorMessage="0" allowBlank="1" errorTitle="Invalid value" error="Choose a value from the approved workbook range." type="list">
      <formula1>'Pay Periods'!$A$2:$A$100</formula1>
    </dataValidation>
    <dataValidation sqref="E2:E100" showDropDown="0" showInputMessage="0" showErrorMessage="0" allowBlank="1" errorTitle="Invalid value" error="Choose a value from Dropdown Lists." type="list">
      <formula1>'Dropdown Lists'!$F$2:$F$4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20" customWidth="1" min="3" max="3"/>
    <col width="16" customWidth="1" min="4" max="4"/>
    <col width="16" customWidth="1" min="5" max="5"/>
    <col width="18" customWidth="1" min="6" max="6"/>
    <col width="16" customWidth="1" min="7" max="7"/>
    <col width="46" customWidth="1" min="8" max="8"/>
  </cols>
  <sheetData>
    <row r="1">
      <c r="A1" s="10" t="inlineStr">
        <is>
          <t>Log ID</t>
        </is>
      </c>
      <c r="B1" s="10" t="inlineStr">
        <is>
          <t>Worker ID</t>
        </is>
      </c>
      <c r="C1" s="10" t="inlineStr">
        <is>
          <t>Worker Name</t>
        </is>
      </c>
      <c r="D1" s="10" t="inlineStr">
        <is>
          <t>Previous Status</t>
        </is>
      </c>
      <c r="E1" s="10" t="inlineStr">
        <is>
          <t>New Status</t>
        </is>
      </c>
      <c r="F1" s="10" t="inlineStr">
        <is>
          <t>Changed At</t>
        </is>
      </c>
      <c r="G1" s="10" t="inlineStr">
        <is>
          <t>Changed By</t>
        </is>
      </c>
      <c r="H1" s="10" t="inlineStr">
        <is>
          <t>Reason</t>
        </is>
      </c>
    </row>
    <row r="2">
      <c r="A2" s="11" t="inlineStr">
        <is>
          <t>A-6001</t>
        </is>
      </c>
      <c r="B2" s="11" t="inlineStr">
        <is>
          <t>W-1003</t>
        </is>
      </c>
      <c r="C2" s="11" t="inlineStr">
        <is>
          <t>Priya Shah</t>
        </is>
      </c>
      <c r="D2" s="11" t="inlineStr">
        <is>
          <t>Active</t>
        </is>
      </c>
      <c r="E2" s="11" t="inlineStr">
        <is>
          <t>Inactive</t>
        </is>
      </c>
      <c r="F2" s="16" t="n">
        <v>46182.33333333334</v>
      </c>
      <c r="G2" s="11" t="inlineStr">
        <is>
          <t>Admin Demo</t>
        </is>
      </c>
      <c r="H2" s="11" t="inlineStr">
        <is>
          <t>End of assignment; historical proof retained.</t>
        </is>
      </c>
    </row>
  </sheetData>
  <dataValidations count="2">
    <dataValidation sqref="B2:B100" showDropDown="0" showInputMessage="0" showErrorMessage="0" allowBlank="1" errorTitle="Invalid value" error="Choose a value from the approved workbook range." type="list">
      <formula1>Workers!$A$2:$A$200</formula1>
    </dataValidation>
    <dataValidation sqref="D2:E100" showDropDown="0" showInputMessage="0" showErrorMessage="0" allowBlank="1" errorTitle="Invalid value" error="Choose a value from Dropdown Lists." type="list">
      <formula1>'Dropdown Lists'!$A$2:$A$3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20" customWidth="1" min="4" max="4"/>
    <col width="15" customWidth="1" min="5" max="5"/>
    <col width="15" customWidth="1" min="6" max="6"/>
    <col width="16" customWidth="1" min="7" max="7"/>
    <col width="24" customWidth="1" min="8" max="8"/>
    <col width="24" customWidth="1" min="9" max="9"/>
    <col width="24" customWidth="1" min="10" max="10"/>
    <col width="38" customWidth="1" min="11" max="11"/>
  </cols>
  <sheetData>
    <row r="1">
      <c r="A1" s="10" t="inlineStr">
        <is>
          <t>Correction ID</t>
        </is>
      </c>
      <c r="B1" s="10" t="inlineStr">
        <is>
          <t>Entry ID</t>
        </is>
      </c>
      <c r="C1" s="10" t="inlineStr">
        <is>
          <t>Worker ID</t>
        </is>
      </c>
      <c r="D1" s="10" t="inlineStr">
        <is>
          <t>Worker Name</t>
        </is>
      </c>
      <c r="E1" s="10" t="inlineStr">
        <is>
          <t>Pay Period ID</t>
        </is>
      </c>
      <c r="F1" s="10" t="inlineStr">
        <is>
          <t>Correction Date</t>
        </is>
      </c>
      <c r="G1" s="10" t="inlineStr">
        <is>
          <t>Corrected By</t>
        </is>
      </c>
      <c r="H1" s="10" t="inlineStr">
        <is>
          <t>Correction Reason</t>
        </is>
      </c>
      <c r="I1" s="10" t="inlineStr">
        <is>
          <t>Original Value Summary</t>
        </is>
      </c>
      <c r="J1" s="10" t="inlineStr">
        <is>
          <t>New Value Summary</t>
        </is>
      </c>
      <c r="K1" s="10" t="inlineStr">
        <is>
          <t>Notes</t>
        </is>
      </c>
    </row>
    <row r="2">
      <c r="A2" s="11" t="inlineStr">
        <is>
          <t>C-7001</t>
        </is>
      </c>
      <c r="B2" s="11" t="inlineStr">
        <is>
          <t>T-3005</t>
        </is>
      </c>
      <c r="C2" s="11" t="inlineStr">
        <is>
          <t>W-1003</t>
        </is>
      </c>
      <c r="D2" s="11" t="inlineStr">
        <is>
          <t>Priya Shah</t>
        </is>
      </c>
      <c r="E2" s="11" t="inlineStr">
        <is>
          <t>P-4003</t>
        </is>
      </c>
      <c r="F2" s="12" t="n">
        <v>46181</v>
      </c>
      <c r="G2" s="11" t="inlineStr">
        <is>
          <t>Admin Demo</t>
        </is>
      </c>
      <c r="H2" s="11" t="inlineStr">
        <is>
          <t>Add missing reimbursement</t>
        </is>
      </c>
      <c r="I2" s="11" t="inlineStr">
        <is>
          <t>Reimbursement 0</t>
        </is>
      </c>
      <c r="J2" s="11" t="inlineStr">
        <is>
          <t>Reimbursement 15</t>
        </is>
      </c>
      <c r="K2" s="11" t="inlineStr">
        <is>
          <t>Correction visible in Time Entries and log.</t>
        </is>
      </c>
    </row>
  </sheetData>
  <dataValidations count="3">
    <dataValidation sqref="B2:B100" showDropDown="0" showInputMessage="0" showErrorMessage="0" allowBlank="1" errorTitle="Invalid value" error="Choose a value from the approved workbook range." type="list">
      <formula1>'Time Entries'!$A$2:$A$200</formula1>
    </dataValidation>
    <dataValidation sqref="C2:C100" showDropDown="0" showInputMessage="0" showErrorMessage="0" allowBlank="1" errorTitle="Invalid value" error="Choose a value from the approved workbook range." type="list">
      <formula1>Workers!$A$2:$A$200</formula1>
    </dataValidation>
    <dataValidation sqref="E2:E100" showDropDown="0" showInputMessage="0" showErrorMessage="0" allowBlank="1" errorTitle="Invalid value" error="Choose a value from the approved workbook range." type="list">
      <formula1>'Pay Periods'!$A$2:$A$100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24" customWidth="1" min="3" max="3"/>
    <col width="12" customWidth="1" min="4" max="4"/>
    <col width="20" customWidth="1" min="5" max="5"/>
    <col width="15" customWidth="1" min="6" max="6"/>
    <col width="12" customWidth="1" min="7" max="7"/>
    <col width="12" customWidth="1" min="8" max="8"/>
    <col width="16" customWidth="1" min="9" max="9"/>
    <col width="24" customWidth="1" min="10" max="10"/>
    <col width="42" customWidth="1" min="11" max="11"/>
  </cols>
  <sheetData>
    <row r="1">
      <c r="A1" s="10" t="inlineStr">
        <is>
          <t>Schedule ID</t>
        </is>
      </c>
      <c r="B1" s="10" t="inlineStr">
        <is>
          <t>Job ID</t>
        </is>
      </c>
      <c r="C1" s="10" t="inlineStr">
        <is>
          <t>Job Name</t>
        </is>
      </c>
      <c r="D1" s="10" t="inlineStr">
        <is>
          <t>Worker ID</t>
        </is>
      </c>
      <c r="E1" s="10" t="inlineStr">
        <is>
          <t>Worker Name</t>
        </is>
      </c>
      <c r="F1" s="10" t="inlineStr">
        <is>
          <t>Scheduled Date</t>
        </is>
      </c>
      <c r="G1" s="10" t="inlineStr">
        <is>
          <t>Start Time</t>
        </is>
      </c>
      <c r="H1" s="10" t="inlineStr">
        <is>
          <t>End Time</t>
        </is>
      </c>
      <c r="I1" s="10" t="inlineStr">
        <is>
          <t>Schedule Status</t>
        </is>
      </c>
      <c r="J1" s="10" t="inlineStr">
        <is>
          <t>Calendar Event ID</t>
        </is>
      </c>
      <c r="K1" s="10" t="inlineStr">
        <is>
          <t>Notes</t>
        </is>
      </c>
    </row>
    <row r="2">
      <c r="A2" s="11" t="inlineStr">
        <is>
          <t>S-8001</t>
        </is>
      </c>
      <c r="B2" s="11" t="inlineStr">
        <is>
          <t>J-2001</t>
        </is>
      </c>
      <c r="C2" s="11" t="inlineStr">
        <is>
          <t>Oak Ridge Units</t>
        </is>
      </c>
      <c r="D2" s="11" t="inlineStr">
        <is>
          <t>W-1001</t>
        </is>
      </c>
      <c r="E2" s="11" t="inlineStr">
        <is>
          <t>Maya Ellis</t>
        </is>
      </c>
      <c r="F2" s="12" t="n">
        <v>46184</v>
      </c>
      <c r="G2" s="14" t="n">
        <v>0.3333333333333333</v>
      </c>
      <c r="H2" s="14" t="n">
        <v>0.6666666666666666</v>
      </c>
      <c r="I2" s="11" t="inlineStr">
        <is>
          <t>Scheduled</t>
        </is>
      </c>
      <c r="J2" s="11" t="inlineStr">
        <is>
          <t>cal-demo-oak-001</t>
        </is>
      </c>
      <c r="K2" s="11" t="inlineStr">
        <is>
          <t>Planning only; not proof.</t>
        </is>
      </c>
    </row>
    <row r="3">
      <c r="A3" s="11" t="inlineStr">
        <is>
          <t>S-8002</t>
        </is>
      </c>
      <c r="B3" s="11" t="inlineStr">
        <is>
          <t>J-2002</t>
        </is>
      </c>
      <c r="C3" s="11" t="inlineStr">
        <is>
          <t>Bluebird Cafe Refresh</t>
        </is>
      </c>
      <c r="D3" s="11" t="inlineStr">
        <is>
          <t>W-1002</t>
        </is>
      </c>
      <c r="E3" s="11" t="inlineStr">
        <is>
          <t>Leo Grant</t>
        </is>
      </c>
      <c r="F3" s="12" t="n">
        <v>46185</v>
      </c>
      <c r="G3" s="14" t="n">
        <v>0.375</v>
      </c>
      <c r="H3" s="14" t="n">
        <v>0.5416666666666666</v>
      </c>
      <c r="I3" s="11" t="inlineStr">
        <is>
          <t>Planned</t>
        </is>
      </c>
      <c r="J3" s="11" t="inlineStr"/>
      <c r="K3" s="11" t="inlineStr">
        <is>
          <t>Schedule reference only.</t>
        </is>
      </c>
    </row>
  </sheetData>
  <dataValidations count="3">
    <dataValidation sqref="B2:B100" showDropDown="0" showInputMessage="0" showErrorMessage="0" allowBlank="1" errorTitle="Invalid value" error="Choose a value from the approved workbook range." type="list">
      <formula1>Jobs!$A$2:$A$200</formula1>
    </dataValidation>
    <dataValidation sqref="D2:D100" showDropDown="0" showInputMessage="0" showErrorMessage="0" allowBlank="1" errorTitle="Invalid value" error="Choose a value from the approved workbook range." type="list">
      <formula1>Workers!$A$2:$A$200</formula1>
    </dataValidation>
    <dataValidation sqref="I2:I100" showDropDown="0" showInputMessage="0" showErrorMessage="0" allowBlank="1" errorTitle="Invalid value" error="Choose a value from Dropdown Lists." type="list">
      <formula1>'Dropdown Lists'!$G$2:$G$5</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6" customWidth="1" min="3" max="3"/>
    <col width="20" customWidth="1" min="4" max="4"/>
    <col width="12" customWidth="1" min="5" max="5"/>
    <col width="20" customWidth="1" min="6" max="6"/>
    <col width="24" customWidth="1" min="7" max="7"/>
    <col width="44" customWidth="1" min="8" max="8"/>
    <col width="20" customWidth="1" min="9" max="9"/>
    <col width="16" customWidth="1" min="10" max="10"/>
    <col width="15" customWidth="1" min="11" max="11"/>
    <col width="18" customWidth="1" min="12" max="12"/>
    <col width="38" customWidth="1" min="13" max="13"/>
  </cols>
  <sheetData>
    <row r="1">
      <c r="A1" s="10" t="inlineStr">
        <is>
          <t>Notice ID</t>
        </is>
      </c>
      <c r="B1" s="10" t="inlineStr">
        <is>
          <t>Created At</t>
        </is>
      </c>
      <c r="C1" s="10" t="inlineStr">
        <is>
          <t>Created By</t>
        </is>
      </c>
      <c r="D1" s="10" t="inlineStr">
        <is>
          <t>Recipient Type</t>
        </is>
      </c>
      <c r="E1" s="10" t="inlineStr">
        <is>
          <t>Worker ID</t>
        </is>
      </c>
      <c r="F1" s="10" t="inlineStr">
        <is>
          <t>Worker Name</t>
        </is>
      </c>
      <c r="G1" s="10" t="inlineStr">
        <is>
          <t>Subject</t>
        </is>
      </c>
      <c r="H1" s="10" t="inlineStr">
        <is>
          <t>Message</t>
        </is>
      </c>
      <c r="I1" s="10" t="inlineStr">
        <is>
          <t>Related Pay Period ID</t>
        </is>
      </c>
      <c r="J1" s="10" t="inlineStr">
        <is>
          <t>Delivery Method</t>
        </is>
      </c>
      <c r="K1" s="10" t="inlineStr">
        <is>
          <t>Notice Status</t>
        </is>
      </c>
      <c r="L1" s="10" t="inlineStr">
        <is>
          <t>Sent At</t>
        </is>
      </c>
      <c r="M1" s="10" t="inlineStr">
        <is>
          <t>Notes</t>
        </is>
      </c>
    </row>
    <row r="2">
      <c r="A2" s="11" t="inlineStr">
        <is>
          <t>N-9001</t>
        </is>
      </c>
      <c r="B2" s="16" t="n">
        <v>46181.51041666666</v>
      </c>
      <c r="C2" s="11" t="inlineStr">
        <is>
          <t>Admin Demo</t>
        </is>
      </c>
      <c r="D2" s="11" t="inlineStr">
        <is>
          <t>Worker</t>
        </is>
      </c>
      <c r="E2" s="11" t="inlineStr">
        <is>
          <t>W-1001</t>
        </is>
      </c>
      <c r="F2" s="11" t="inlineStr">
        <is>
          <t>Maya Ellis</t>
        </is>
      </c>
      <c r="G2" s="11" t="inlineStr">
        <is>
          <t>Proof ready</t>
        </is>
      </c>
      <c r="H2" s="11" t="inlineStr">
        <is>
          <t>Your paid proof packet is ready in the workbook.</t>
        </is>
      </c>
      <c r="I2" s="11" t="inlineStr">
        <is>
          <t>P-4001</t>
        </is>
      </c>
      <c r="J2" s="11" t="inlineStr">
        <is>
          <t>Workbook</t>
        </is>
      </c>
      <c r="K2" s="11" t="inlineStr">
        <is>
          <t>Posted</t>
        </is>
      </c>
      <c r="L2" s="16" t="n">
        <v>46181.51041666666</v>
      </c>
      <c r="M2" s="11" t="inlineStr">
        <is>
          <t>One-way notice, not chat or proof.</t>
        </is>
      </c>
    </row>
    <row r="3">
      <c r="A3" s="11" t="inlineStr">
        <is>
          <t>N-9002</t>
        </is>
      </c>
      <c r="B3" s="16" t="n">
        <v>46182.34722222222</v>
      </c>
      <c r="C3" s="11" t="inlineStr">
        <is>
          <t>Admin Demo</t>
        </is>
      </c>
      <c r="D3" s="11" t="inlineStr">
        <is>
          <t>All Active Workers</t>
        </is>
      </c>
      <c r="E3" s="11" t="inlineStr"/>
      <c r="F3" s="11" t="inlineStr"/>
      <c r="G3" s="11" t="inlineStr">
        <is>
          <t>Schedule reminder</t>
        </is>
      </c>
      <c r="H3" s="11" t="inlineStr">
        <is>
          <t>Check the Schedule tab for upcoming planned work.</t>
        </is>
      </c>
      <c r="I3" s="11" t="inlineStr"/>
      <c r="J3" s="11" t="inlineStr">
        <is>
          <t>Email Ready</t>
        </is>
      </c>
      <c r="K3" s="11" t="inlineStr">
        <is>
          <t>Draft</t>
        </is>
      </c>
      <c r="L3" s="16" t="n"/>
      <c r="M3" s="11" t="inlineStr">
        <is>
          <t>Email-ready text only; no send automation.</t>
        </is>
      </c>
    </row>
  </sheetData>
  <dataValidations count="5">
    <dataValidation sqref="D2:D100" showDropDown="0" showInputMessage="0" showErrorMessage="0" allowBlank="1" errorTitle="Invalid value" error="Choose a value from Dropdown Lists." type="list">
      <formula1>'Dropdown Lists'!$H$2:$H$3</formula1>
    </dataValidation>
    <dataValidation sqref="E2:E100" showDropDown="0" showInputMessage="0" showErrorMessage="0" allowBlank="1" errorTitle="Invalid value" error="Choose a value from the approved workbook range." type="list">
      <formula1>Workers!$A$2:$A$200</formula1>
    </dataValidation>
    <dataValidation sqref="I2:I100" showDropDown="0" showInputMessage="0" showErrorMessage="0" allowBlank="1" errorTitle="Invalid value" error="Choose a value from the approved workbook range." type="list">
      <formula1>'Pay Periods'!$A$2:$A$100</formula1>
    </dataValidation>
    <dataValidation sqref="J2:J100" showDropDown="0" showInputMessage="0" showErrorMessage="0" allowBlank="1" errorTitle="Invalid value" error="Choose a value from Dropdown Lists." type="list">
      <formula1>'Dropdown Lists'!$I$2:$I$4</formula1>
    </dataValidation>
    <dataValidation sqref="K2:K100" showDropDown="0" showInputMessage="0" showErrorMessage="0" allowBlank="1" errorTitle="Invalid value" error="Choose a value from Dropdown Lists." type="list">
      <formula1>'Dropdown Lists'!$J$2:$J$5</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24" customWidth="1" min="3" max="3"/>
    <col width="12" customWidth="1" min="4" max="4"/>
    <col width="20" customWidth="1" min="5" max="5"/>
    <col width="24" customWidth="1" min="6" max="6"/>
    <col width="14" customWidth="1" min="7" max="7"/>
    <col width="16" customWidth="1" min="8" max="8"/>
    <col width="18" customWidth="1" min="9" max="9"/>
    <col width="44" customWidth="1" min="10" max="10"/>
  </cols>
  <sheetData>
    <row r="1">
      <c r="A1" s="10" t="inlineStr">
        <is>
          <t>Calendar Log ID</t>
        </is>
      </c>
      <c r="B1" s="10" t="inlineStr">
        <is>
          <t>Job ID</t>
        </is>
      </c>
      <c r="C1" s="10" t="inlineStr">
        <is>
          <t>Job Name</t>
        </is>
      </c>
      <c r="D1" s="10" t="inlineStr">
        <is>
          <t>Worker ID</t>
        </is>
      </c>
      <c r="E1" s="10" t="inlineStr">
        <is>
          <t>Worker Name</t>
        </is>
      </c>
      <c r="F1" s="10" t="inlineStr">
        <is>
          <t>Calendar Event ID</t>
        </is>
      </c>
      <c r="G1" s="10" t="inlineStr">
        <is>
          <t>Event Date</t>
        </is>
      </c>
      <c r="H1" s="10" t="inlineStr">
        <is>
          <t>Sync Status</t>
        </is>
      </c>
      <c r="I1" s="10" t="inlineStr">
        <is>
          <t>Last Synced At</t>
        </is>
      </c>
      <c r="J1" s="10" t="inlineStr">
        <is>
          <t>Notes</t>
        </is>
      </c>
    </row>
    <row r="2">
      <c r="A2" s="11" t="inlineStr">
        <is>
          <t>G-10001</t>
        </is>
      </c>
      <c r="B2" s="11" t="inlineStr">
        <is>
          <t>J-2001</t>
        </is>
      </c>
      <c r="C2" s="11" t="inlineStr">
        <is>
          <t>Oak Ridge Units</t>
        </is>
      </c>
      <c r="D2" s="11" t="inlineStr">
        <is>
          <t>W-1001</t>
        </is>
      </c>
      <c r="E2" s="11" t="inlineStr">
        <is>
          <t>Maya Ellis</t>
        </is>
      </c>
      <c r="F2" s="11" t="inlineStr">
        <is>
          <t>cal-demo-oak-001</t>
        </is>
      </c>
      <c r="G2" s="12" t="n">
        <v>46184</v>
      </c>
      <c r="H2" s="11" t="inlineStr">
        <is>
          <t>Not Synced</t>
        </is>
      </c>
      <c r="I2" s="16" t="n"/>
      <c r="J2" s="11" t="inlineStr">
        <is>
          <t>Calendar is reference only, not proof.</t>
        </is>
      </c>
    </row>
  </sheetData>
  <dataValidations count="3">
    <dataValidation sqref="B2:B100" showDropDown="0" showInputMessage="0" showErrorMessage="0" allowBlank="1" errorTitle="Invalid value" error="Choose a value from the approved workbook range." type="list">
      <formula1>Jobs!$A$2:$A$200</formula1>
    </dataValidation>
    <dataValidation sqref="D2:D100" showDropDown="0" showInputMessage="0" showErrorMessage="0" allowBlank="1" errorTitle="Invalid value" error="Choose a value from the approved workbook range." type="list">
      <formula1>Workers!$A$2:$A$200</formula1>
    </dataValidation>
    <dataValidation sqref="H2:H100" showDropDown="0" showInputMessage="0" showErrorMessage="0" allowBlank="1" errorTitle="Invalid value" error="Choose a value from Dropdown Lists." type="list">
      <formula1>'Dropdown Lists'!$K$2:$K$5</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1">
      <c r="A1" s="10" t="inlineStr">
        <is>
          <t>Access Status</t>
        </is>
      </c>
      <c r="B1" s="10" t="inlineStr">
        <is>
          <t>Job Status</t>
        </is>
      </c>
      <c r="C1" s="10" t="inlineStr">
        <is>
          <t>Approval Status</t>
        </is>
      </c>
      <c r="D1" s="10" t="inlineStr">
        <is>
          <t>Pay Period Status</t>
        </is>
      </c>
      <c r="E1" s="10" t="inlineStr">
        <is>
          <t>Payment Status</t>
        </is>
      </c>
      <c r="F1" s="10" t="inlineStr">
        <is>
          <t>Export Type</t>
        </is>
      </c>
      <c r="G1" s="10" t="inlineStr">
        <is>
          <t>Schedule Status</t>
        </is>
      </c>
      <c r="H1" s="10" t="inlineStr">
        <is>
          <t>Recipient Type</t>
        </is>
      </c>
      <c r="I1" s="10" t="inlineStr">
        <is>
          <t>Delivery Method</t>
        </is>
      </c>
      <c r="J1" s="10" t="inlineStr">
        <is>
          <t>Notice Status</t>
        </is>
      </c>
      <c r="K1" s="10" t="inlineStr">
        <is>
          <t>Sync Status</t>
        </is>
      </c>
    </row>
    <row r="2">
      <c r="A2" s="11" t="inlineStr">
        <is>
          <t>Active</t>
        </is>
      </c>
      <c r="B2" s="11" t="inlineStr">
        <is>
          <t>Active</t>
        </is>
      </c>
      <c r="C2" s="11" t="inlineStr">
        <is>
          <t>Draft</t>
        </is>
      </c>
      <c r="D2" s="11" t="inlineStr">
        <is>
          <t>Open</t>
        </is>
      </c>
      <c r="E2" s="11" t="inlineStr">
        <is>
          <t>Unpaid</t>
        </is>
      </c>
      <c r="F2" s="11" t="inlineStr">
        <is>
          <t>Print</t>
        </is>
      </c>
      <c r="G2" s="11" t="inlineStr">
        <is>
          <t>Planned</t>
        </is>
      </c>
      <c r="H2" s="11" t="inlineStr">
        <is>
          <t>Worker</t>
        </is>
      </c>
      <c r="I2" s="11" t="inlineStr">
        <is>
          <t>Workbook</t>
        </is>
      </c>
      <c r="J2" s="11" t="inlineStr">
        <is>
          <t>Draft</t>
        </is>
      </c>
      <c r="K2" s="11" t="inlineStr">
        <is>
          <t>Not Synced</t>
        </is>
      </c>
    </row>
    <row r="3">
      <c r="A3" s="11" t="inlineStr">
        <is>
          <t>Inactive</t>
        </is>
      </c>
      <c r="B3" s="11" t="inlineStr">
        <is>
          <t>Paused</t>
        </is>
      </c>
      <c r="C3" s="11" t="inlineStr">
        <is>
          <t>Submitted</t>
        </is>
      </c>
      <c r="D3" s="11" t="inlineStr">
        <is>
          <t>Finalized</t>
        </is>
      </c>
      <c r="E3" s="11" t="inlineStr">
        <is>
          <t>Paid</t>
        </is>
      </c>
      <c r="F3" s="11" t="inlineStr">
        <is>
          <t>PDF</t>
        </is>
      </c>
      <c r="G3" s="11" t="inlineStr">
        <is>
          <t>Scheduled</t>
        </is>
      </c>
      <c r="H3" s="11" t="inlineStr">
        <is>
          <t>All Active Workers</t>
        </is>
      </c>
      <c r="I3" s="11" t="inlineStr">
        <is>
          <t>Email Ready</t>
        </is>
      </c>
      <c r="J3" s="11" t="inlineStr">
        <is>
          <t>Posted</t>
        </is>
      </c>
      <c r="K3" s="11" t="inlineStr">
        <is>
          <t>Synced</t>
        </is>
      </c>
    </row>
    <row r="4">
      <c r="A4" s="11" t="n"/>
      <c r="B4" s="11" t="inlineStr">
        <is>
          <t>Closed</t>
        </is>
      </c>
      <c r="C4" s="11" t="inlineStr">
        <is>
          <t>Approved</t>
        </is>
      </c>
      <c r="D4" s="11" t="inlineStr">
        <is>
          <t>Paid</t>
        </is>
      </c>
      <c r="E4" s="11" t="n"/>
      <c r="F4" s="11" t="inlineStr">
        <is>
          <t>CSV</t>
        </is>
      </c>
      <c r="G4" s="11" t="inlineStr">
        <is>
          <t>Completed</t>
        </is>
      </c>
      <c r="H4" s="11" t="n"/>
      <c r="I4" s="11" t="inlineStr">
        <is>
          <t>Gmail Sent</t>
        </is>
      </c>
      <c r="J4" s="11" t="inlineStr">
        <is>
          <t>Sent</t>
        </is>
      </c>
      <c r="K4" s="11" t="inlineStr">
        <is>
          <t>Failed</t>
        </is>
      </c>
    </row>
    <row r="5">
      <c r="A5" s="11" t="n"/>
      <c r="B5" s="11" t="n"/>
      <c r="C5" s="11" t="inlineStr">
        <is>
          <t>Finalized</t>
        </is>
      </c>
      <c r="D5" s="11" t="n"/>
      <c r="E5" s="11" t="n"/>
      <c r="F5" s="11" t="n"/>
      <c r="G5" s="11" t="inlineStr">
        <is>
          <t>Canceled</t>
        </is>
      </c>
      <c r="H5" s="11" t="n"/>
      <c r="I5" s="11" t="n"/>
      <c r="J5" s="11" t="inlineStr">
        <is>
          <t>Archived</t>
        </is>
      </c>
      <c r="K5" s="11" t="inlineStr">
        <is>
          <t>Skipped</t>
        </is>
      </c>
    </row>
    <row r="6">
      <c r="A6" s="11" t="n"/>
      <c r="B6" s="11" t="n"/>
      <c r="C6" s="11" t="inlineStr">
        <is>
          <t>Paid</t>
        </is>
      </c>
      <c r="D6" s="11" t="n"/>
      <c r="E6" s="11" t="n"/>
      <c r="F6" s="11" t="n"/>
      <c r="G6" s="11" t="n"/>
      <c r="H6" s="11" t="n"/>
      <c r="I6" s="11" t="n"/>
      <c r="J6" s="11" t="n"/>
      <c r="K6" s="11" t="n"/>
    </row>
    <row r="7">
      <c r="A7" s="11" t="n"/>
      <c r="B7" s="11" t="n"/>
      <c r="C7" s="11" t="inlineStr">
        <is>
          <t>Rejected</t>
        </is>
      </c>
      <c r="D7" s="11" t="n"/>
      <c r="E7" s="11" t="n"/>
      <c r="F7" s="11" t="n"/>
      <c r="G7" s="11" t="n"/>
      <c r="H7" s="11" t="n"/>
      <c r="I7" s="11" t="n"/>
      <c r="J7" s="11" t="n"/>
      <c r="K7" s="11" t="n"/>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2026-06-10T19:47:58+00:00Z</dcterms:created>
  <dcterms:modified xmlns:dcterms="http://purl.org/dc/terms/" xmlns:xsi="http://www.w3.org/2001/XMLSchema-instance" xsi:type="dcterms:W3CDTF">2026-06-10T19:47:58+00:00Z</dcterms:modified>
</cp:coreProperties>
</file>