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wner Dashboard" sheetId="2" state="visible" r:id="rId2"/>
    <sheet xmlns:r="http://schemas.openxmlformats.org/officeDocument/2006/relationships" name="Client Registry" sheetId="3" state="visible" r:id="rId3"/>
    <sheet xmlns:r="http://schemas.openxmlformats.org/officeDocument/2006/relationships" name="Client Access Control" sheetId="4" state="visible" r:id="rId4"/>
    <sheet xmlns:r="http://schemas.openxmlformats.org/officeDocument/2006/relationships" name="License Billing" sheetId="5" state="visible" r:id="rId5"/>
    <sheet xmlns:r="http://schemas.openxmlformats.org/officeDocument/2006/relationships" name="Bridge Registry" sheetId="6" state="visible" r:id="rId6"/>
    <sheet xmlns:r="http://schemas.openxmlformats.org/officeDocument/2006/relationships" name="Feature Flags" sheetId="7" state="visible" r:id="rId7"/>
    <sheet xmlns:r="http://schemas.openxmlformats.org/officeDocument/2006/relationships" name="System Health" sheetId="8" state="visible" r:id="rId8"/>
    <sheet xmlns:r="http://schemas.openxmlformats.org/officeDocument/2006/relationships" name="Calendar Visibility" sheetId="9" state="visible" r:id="rId9"/>
    <sheet xmlns:r="http://schemas.openxmlformats.org/officeDocument/2006/relationships" name="Support Notes" sheetId="10" state="visible" r:id="rId10"/>
    <sheet xmlns:r="http://schemas.openxmlformats.org/officeDocument/2006/relationships" name="Owner Audit Log" sheetId="11" state="visible" r:id="rId11"/>
    <sheet xmlns:r="http://schemas.openxmlformats.org/officeDocument/2006/relationships" name="Dropdown List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Apps Script Setup" sheetId="14" state="visible" r:id="rId14"/>
  </sheets>
  <definedNames>
    <definedName name="_xlnm.Print_Area" localSheetId="0">'Instructions'!$A$1:$C$22</definedName>
    <definedName name="_xlnm.Print_Area" localSheetId="1">'Owner Dashboard'!$A$1:$L$22</definedName>
    <definedName name="_xlnm._FilterDatabase" localSheetId="2" hidden="1">'Client Registry'!$A$3:$P$8</definedName>
    <definedName name="_xlnm._FilterDatabase" localSheetId="3" hidden="1">'Client Access Control'!$A$3:$M$7</definedName>
    <definedName name="_xlnm._FilterDatabase" localSheetId="4" hidden="1">'License Billing'!$A$3:$L$8</definedName>
    <definedName name="_xlnm._FilterDatabase" localSheetId="5" hidden="1">'Bridge Registry'!$A$3:$M$8</definedName>
    <definedName name="_xlnm._FilterDatabase" localSheetId="6" hidden="1">'Feature Flags'!$A$3:$I$8</definedName>
    <definedName name="_xlnm._FilterDatabase" localSheetId="7" hidden="1">'System Health'!$A$3:$N$8</definedName>
    <definedName name="_xlnm._FilterDatabase" localSheetId="8" hidden="1">'Calendar Visibility'!$A$3:$J$8</definedName>
    <definedName name="_xlnm._FilterDatabase" localSheetId="9" hidden="1">'Support Notes'!$A$3:$K$8</definedName>
    <definedName name="_xlnm._FilterDatabase" localSheetId="10" hidden="1">'Owner Audit Log'!$A$3:$J$7</definedName>
    <definedName name="_xlnm._FilterDatabase" localSheetId="11" hidden="1">'Dropdown Lists'!$A$3:$V$9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i val="1"/>
      <color rgb="006B7280"/>
    </font>
    <font>
      <name val="Aptos"/>
      <b val="1"/>
      <color rgb="00FFFFFF"/>
    </font>
    <font>
      <name val="Aptos"/>
      <b val="1"/>
      <color rgb="0017324D"/>
    </font>
    <font>
      <name val="Aptos"/>
      <b val="1"/>
      <color rgb="0017324D"/>
      <sz val="18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EF6FC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medium">
        <color rgb="0017324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4" fillId="3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 wrapText="1"/>
    </xf>
    <xf numFmtId="0" fontId="4" fillId="6" borderId="0" pivotButton="0" quotePrefix="0" xfId="0"/>
  </cellXfs>
  <cellStyles count="1">
    <cellStyle name="Normal" xfId="0" builtinId="0" hidden="0"/>
  </cellStyles>
  <dxfs count="10">
    <dxf>
      <fill>
        <patternFill patternType="solid">
          <fgColor rgb="00FFFFFF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EEF6FC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DCEBF7"/>
        </patternFill>
      </fill>
    </dxf>
    <dxf>
      <fill>
        <patternFill patternType="solid">
          <fgColor rgb="00DCEFE9"/>
        </patternFill>
      </fill>
    </dxf>
    <dxf>
      <fill>
        <patternFill patternType="solid">
          <f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6584"/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4" customWidth="1" min="2" max="2"/>
    <col width="26" customWidth="1" min="3" max="3"/>
  </cols>
  <sheetData>
    <row r="1" ht="30" customHeight="1">
      <c r="A1" s="1" t="inlineStr">
        <is>
          <t>CrewPay Owner Control Workbook</t>
        </is>
      </c>
      <c r="B1" s="2" t="n"/>
      <c r="C1" s="2" t="n"/>
    </row>
    <row r="2" ht="24" customHeight="1">
      <c r="A2" s="3" t="inlineStr">
        <is>
          <t>Tim-only private control plane for client status, licensing, bridge health, feature flags, and support.</t>
        </is>
      </c>
      <c r="B2" s="2" t="n"/>
      <c r="C2" s="2" t="n"/>
    </row>
    <row r="3">
      <c r="A3" s="4" t="inlineStr">
        <is>
          <t>Section</t>
        </is>
      </c>
      <c r="B3" s="4" t="inlineStr">
        <is>
          <t>Details</t>
        </is>
      </c>
      <c r="C3" s="4" t="inlineStr">
        <is>
          <t>Privacy Boundary</t>
        </is>
      </c>
    </row>
    <row r="4" ht="22" customHeight="1">
      <c r="A4" s="5" t="inlineStr">
        <is>
          <t>What This Workbook Is</t>
        </is>
      </c>
      <c r="B4" s="2" t="n"/>
      <c r="C4" s="2" t="n"/>
    </row>
    <row r="5">
      <c r="A5" s="6" t="inlineStr">
        <is>
          <t>•</t>
        </is>
      </c>
      <c r="B5" s="7" t="inlineStr">
        <is>
          <t>Tim-only private owner control for client status, licensing, bridge health, calendar visibility, feature flags, and support.</t>
        </is>
      </c>
      <c r="C5" s="7" t="inlineStr">
        <is>
          <t>Owner guidance</t>
        </is>
      </c>
    </row>
    <row r="6">
      <c r="A6" s="8" t="inlineStr">
        <is>
          <t>•</t>
        </is>
      </c>
      <c r="B6" s="9" t="inlineStr">
        <is>
          <t>Control plane only, not the worker data plane.</t>
        </is>
      </c>
      <c r="C6" s="9" t="inlineStr">
        <is>
          <t>Owner guidance</t>
        </is>
      </c>
    </row>
    <row r="7">
      <c r="A7" s="6" t="inlineStr">
        <is>
          <t>•</t>
        </is>
      </c>
      <c r="B7" s="7" t="inlineStr">
        <is>
          <t>Safe for alias-only operational tracking and owner follow-up.</t>
        </is>
      </c>
      <c r="C7" s="7" t="inlineStr">
        <is>
          <t>Owner guidance</t>
        </is>
      </c>
    </row>
    <row r="9" ht="22" customHeight="1">
      <c r="A9" s="5" t="inlineStr">
        <is>
          <t>What This Workbook Is Not</t>
        </is>
      </c>
      <c r="B9" s="2" t="n"/>
      <c r="C9" s="2" t="n"/>
    </row>
    <row r="10">
      <c r="A10" s="8" t="inlineStr">
        <is>
          <t>•</t>
        </is>
      </c>
      <c r="B10" s="9" t="inlineStr">
        <is>
          <t>Not payroll approval or payroll calculation software.</t>
        </is>
      </c>
      <c r="C10" s="9" t="inlineStr">
        <is>
          <t>Owner guidance</t>
        </is>
      </c>
    </row>
    <row r="11">
      <c r="A11" s="6" t="inlineStr">
        <is>
          <t>•</t>
        </is>
      </c>
      <c r="B11" s="7" t="inlineStr">
        <is>
          <t>Not the operational CrewPay Ledger workbook.</t>
        </is>
      </c>
      <c r="C11" s="7" t="inlineStr">
        <is>
          <t>Owner guidance</t>
        </is>
      </c>
    </row>
    <row r="12">
      <c r="A12" s="8" t="inlineStr">
        <is>
          <t>•</t>
        </is>
      </c>
      <c r="B12" s="9" t="inlineStr">
        <is>
          <t>Not a worker records, proof, or time-entry store.</t>
        </is>
      </c>
      <c r="C12" s="9" t="inlineStr">
        <is>
          <t>Owner guidance</t>
        </is>
      </c>
    </row>
    <row r="14" ht="22" customHeight="1">
      <c r="A14" s="5" t="inlineStr">
        <is>
          <t>Setup Flow</t>
        </is>
      </c>
      <c r="B14" s="2" t="n"/>
      <c r="C14" s="2" t="n"/>
    </row>
    <row r="15">
      <c r="A15" s="10" t="inlineStr">
        <is>
          <t>Step 1</t>
        </is>
      </c>
      <c r="B15" s="7" t="inlineStr">
        <is>
          <t>Open a Google Sheets copy of the workbook.</t>
        </is>
      </c>
      <c r="C15" s="7" t="inlineStr">
        <is>
          <t>Owner setup</t>
        </is>
      </c>
    </row>
    <row r="16">
      <c r="A16" s="10" t="inlineStr">
        <is>
          <t>Step 2</t>
        </is>
      </c>
      <c r="B16" s="9" t="inlineStr">
        <is>
          <t>Paste the owner-control Apps Script into the workbook-bound project.</t>
        </is>
      </c>
      <c r="C16" s="9" t="inlineStr">
        <is>
          <t>Owner setup</t>
        </is>
      </c>
    </row>
    <row r="17">
      <c r="A17" s="10" t="inlineStr">
        <is>
          <t>Step 3</t>
        </is>
      </c>
      <c r="B17" s="7" t="inlineStr">
        <is>
          <t>Run the self-check before using any owner actions.</t>
        </is>
      </c>
      <c r="C17" s="7" t="inlineStr">
        <is>
          <t>Owner setup</t>
        </is>
      </c>
    </row>
    <row r="20">
      <c r="A20" s="11" t="inlineStr">
        <is>
          <t>Privacy boundary: do not store worker names, emails, phone numbers, addresses, proof photos, time entries, or payroll detail here.</t>
        </is>
      </c>
      <c r="B20" s="2" t="n"/>
      <c r="C20" s="2" t="n"/>
    </row>
  </sheetData>
  <mergeCells count="6">
    <mergeCell ref="A1:C1"/>
    <mergeCell ref="A14:C14"/>
    <mergeCell ref="A9:C9"/>
    <mergeCell ref="A4:C4"/>
    <mergeCell ref="A20:C20"/>
    <mergeCell ref="A2:C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7324D"/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CrewPay Owner Control Workbook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Formula-driven owner summary cards. No manual entry required.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Operating Note</t>
        </is>
      </c>
      <c r="B3" s="4" t="inlineStr">
        <is>
          <t>Details</t>
        </is>
      </c>
    </row>
    <row r="4" ht="20" customHeight="1">
      <c r="A4" s="5" t="inlineStr">
        <is>
          <t>Client Status — Live client count and access posture.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2" customHeight="1">
      <c r="A5" s="12" t="inlineStr">
        <is>
          <t>Total Clients</t>
        </is>
      </c>
      <c r="B5" s="13" t="n"/>
      <c r="C5" s="13" t="n"/>
      <c r="D5" s="12" t="inlineStr">
        <is>
          <t>Active Clients</t>
        </is>
      </c>
      <c r="E5" s="13" t="n"/>
      <c r="F5" s="13" t="n"/>
      <c r="G5" s="12" t="inlineStr">
        <is>
          <t>Paused Clients</t>
        </is>
      </c>
      <c r="H5" s="13" t="n"/>
      <c r="I5" s="13" t="n"/>
      <c r="J5" s="12" t="inlineStr">
        <is>
          <t>Suspended Clients</t>
        </is>
      </c>
      <c r="K5" s="13" t="n"/>
      <c r="L5" s="13" t="n"/>
    </row>
    <row r="6" ht="30" customHeight="1">
      <c r="A6" s="14">
        <f>COUNTA('Client Registry'!$A$4:$A$200)</f>
        <v/>
      </c>
      <c r="B6" s="13" t="n"/>
      <c r="C6" s="13" t="n"/>
      <c r="D6" s="14">
        <f>COUNTIF('Client Registry'!$D$4:$D$200,"Active")</f>
        <v/>
      </c>
      <c r="E6" s="13" t="n"/>
      <c r="F6" s="13" t="n"/>
      <c r="G6" s="14">
        <f>COUNTIF('Client Registry'!$D$4:$D$200,"Paused")</f>
        <v/>
      </c>
      <c r="H6" s="13" t="n"/>
      <c r="I6" s="13" t="n"/>
      <c r="J6" s="14">
        <f>COUNTIF('Client Registry'!$D$4:$D$200,"Suspended")</f>
        <v/>
      </c>
      <c r="K6" s="13" t="n"/>
      <c r="L6" s="13" t="n"/>
    </row>
    <row r="7" ht="22" customHeight="1"/>
    <row r="8" ht="20" customHeight="1">
      <c r="A8" s="5" t="inlineStr">
        <is>
          <t>Billing — Billing and feature-flag controls.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22" customHeight="1">
      <c r="A9" s="12" t="inlineStr">
        <is>
          <t>Billing Overdue</t>
        </is>
      </c>
      <c r="B9" s="13" t="n"/>
      <c r="C9" s="13" t="n"/>
      <c r="D9" s="12" t="inlineStr">
        <is>
          <t>Billing Grace Period</t>
        </is>
      </c>
      <c r="E9" s="13" t="n"/>
      <c r="F9" s="13" t="n"/>
      <c r="G9" s="12" t="inlineStr">
        <is>
          <t>Enabled Feature Flags</t>
        </is>
      </c>
      <c r="H9" s="13" t="n"/>
      <c r="I9" s="13" t="n"/>
      <c r="J9" s="12" t="inlineStr">
        <is>
          <t>Allowed Worker Count</t>
        </is>
      </c>
      <c r="K9" s="13" t="n"/>
      <c r="L9" s="13" t="n"/>
    </row>
    <row r="10" ht="30" customHeight="1">
      <c r="A10" s="14">
        <f>COUNTIF('License Billing'!$D$4:$D$200,"Overdue")</f>
        <v/>
      </c>
      <c r="B10" s="13" t="n"/>
      <c r="C10" s="13" t="n"/>
      <c r="D10" s="14">
        <f>COUNTIF('License Billing'!$D$4:$D$200,"Grace Period")</f>
        <v/>
      </c>
      <c r="E10" s="13" t="n"/>
      <c r="F10" s="13" t="n"/>
      <c r="G10" s="14">
        <f>COUNTIF('Feature Flags'!$D$4:$D$200,"Enabled")</f>
        <v/>
      </c>
      <c r="H10" s="13" t="n"/>
      <c r="I10" s="13" t="n"/>
      <c r="J10" s="14">
        <f>SUM('Client Registry'!$M$4:$M$200)</f>
        <v/>
      </c>
      <c r="K10" s="13" t="n"/>
      <c r="L10" s="13" t="n"/>
    </row>
    <row r="11" ht="22" customHeight="1"/>
    <row r="12" ht="20" customHeight="1">
      <c r="A12" s="5" t="inlineStr">
        <is>
          <t>Bridge Health — Alias-only bridge status and rotation state.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2" customHeight="1">
      <c r="A13" s="12" t="inlineStr">
        <is>
          <t>Bridge Healthy</t>
        </is>
      </c>
      <c r="B13" s="13" t="n"/>
      <c r="C13" s="13" t="n"/>
      <c r="D13" s="12" t="inlineStr">
        <is>
          <t>Bridge Warning</t>
        </is>
      </c>
      <c r="E13" s="13" t="n"/>
      <c r="F13" s="13" t="n"/>
      <c r="G13" s="12" t="inlineStr">
        <is>
          <t>Bridge Failing</t>
        </is>
      </c>
      <c r="H13" s="13" t="n"/>
      <c r="I13" s="13" t="n"/>
      <c r="J13" s="12" t="inlineStr">
        <is>
          <t>Bridge Disabled</t>
        </is>
      </c>
      <c r="K13" s="13" t="n"/>
      <c r="L13" s="13" t="n"/>
    </row>
    <row r="14" ht="30" customHeight="1">
      <c r="A14" s="14">
        <f>COUNTIF('Bridge Registry'!$C$4:$C$200,"Healthy")</f>
        <v/>
      </c>
      <c r="B14" s="13" t="n"/>
      <c r="C14" s="13" t="n"/>
      <c r="D14" s="14">
        <f>COUNTIF('Bridge Registry'!$C$4:$C$200,"Warning")</f>
        <v/>
      </c>
      <c r="E14" s="13" t="n"/>
      <c r="F14" s="13" t="n"/>
      <c r="G14" s="14">
        <f>COUNTIF('Bridge Registry'!$C$4:$C$200,"Failing")</f>
        <v/>
      </c>
      <c r="H14" s="13" t="n"/>
      <c r="I14" s="13" t="n"/>
      <c r="J14" s="14">
        <f>COUNTIF('Bridge Registry'!$C$4:$C$200,"Disabled")</f>
        <v/>
      </c>
      <c r="K14" s="13" t="n"/>
      <c r="L14" s="13" t="n"/>
    </row>
    <row r="15" ht="22" customHeight="1"/>
    <row r="16" ht="20" customHeight="1">
      <c r="A16" s="5" t="inlineStr">
        <is>
          <t>Calendar / Support — Reference visibility and follow-up queue.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2" customHeight="1">
      <c r="A17" s="12" t="inlineStr">
        <is>
          <t>Calendar Enabled</t>
        </is>
      </c>
      <c r="B17" s="13" t="n"/>
      <c r="C17" s="13" t="n"/>
      <c r="D17" s="12" t="inlineStr">
        <is>
          <t>Open Support Notes</t>
        </is>
      </c>
      <c r="E17" s="13" t="n"/>
      <c r="F17" s="13" t="n"/>
      <c r="G17" s="12" t="inlineStr">
        <is>
          <t>Open Blockers</t>
        </is>
      </c>
      <c r="H17" s="13" t="n"/>
      <c r="I17" s="13" t="n"/>
      <c r="J17" s="12" t="inlineStr">
        <is>
          <t>Paused or Offboarded</t>
        </is>
      </c>
      <c r="K17" s="13" t="n"/>
      <c r="L17" s="13" t="n"/>
    </row>
    <row r="18" ht="30" customHeight="1">
      <c r="A18" s="14">
        <f>COUNTIF('Calendar Visibility'!$C$4:$C$200,"Enabled")</f>
        <v/>
      </c>
      <c r="B18" s="13" t="n"/>
      <c r="C18" s="13" t="n"/>
      <c r="D18" s="14">
        <f>COUNTIF('Support Notes'!$F$4:$F$200,"Open")+COUNTIF('Support Notes'!$F$4:$F$200,"Waiting")</f>
        <v/>
      </c>
      <c r="E18" s="13" t="n"/>
      <c r="F18" s="13" t="n"/>
      <c r="G18" s="14">
        <f>COUNTIF('System Health'!$J$4:$J$200,"Blocker")+COUNTIFS('Support Notes'!$E$4:$E$200,"Urgent",'Support Notes'!$F$4:$F$200,"Open")+COUNTIFS('Support Notes'!$E$4:$E$200,"Urgent",'Support Notes'!$F$4:$F$200,"Waiting")</f>
        <v/>
      </c>
      <c r="H18" s="13" t="n"/>
      <c r="I18" s="13" t="n"/>
      <c r="J18" s="14">
        <f>COUNTIF('Client Registry'!$D$4:$D$200,"Paused")+COUNTIF('Client Registry'!$D$4:$D$200,"Offboarded")</f>
        <v/>
      </c>
      <c r="K18" s="13" t="n"/>
      <c r="L18" s="13" t="n"/>
    </row>
    <row r="19" ht="22" customHeight="1"/>
    <row r="20" ht="22" customHeight="1">
      <c r="A20" s="8" t="inlineStr">
        <is>
          <t>Operating Notes</t>
        </is>
      </c>
      <c r="B20" s="9" t="inlineStr">
        <is>
          <t>Formula counts update from the control tabs.</t>
        </is>
      </c>
    </row>
    <row r="21" ht="22" customHeight="1">
      <c r="A21" s="6" t="inlineStr">
        <is>
          <t>Privacy Note</t>
        </is>
      </c>
      <c r="B21" s="7" t="inlineStr">
        <is>
          <t>Control plane only — no worker private records.</t>
        </is>
      </c>
    </row>
    <row r="22" ht="22" customHeight="1">
      <c r="A22" s="9" t="inlineStr">
        <is>
          <t>Operating Note</t>
        </is>
      </c>
      <c r="B22" s="9" t="inlineStr">
        <is>
          <t>Use aliases and count-level fields only.</t>
        </is>
      </c>
    </row>
  </sheetData>
  <mergeCells count="38">
    <mergeCell ref="J6:L6"/>
    <mergeCell ref="A16:L16"/>
    <mergeCell ref="D13:F13"/>
    <mergeCell ref="G10:I10"/>
    <mergeCell ref="G6:I6"/>
    <mergeCell ref="G13:I13"/>
    <mergeCell ref="A18:C18"/>
    <mergeCell ref="G18:I18"/>
    <mergeCell ref="D17:F17"/>
    <mergeCell ref="A12:L12"/>
    <mergeCell ref="A2:L2"/>
    <mergeCell ref="G14:I14"/>
    <mergeCell ref="A5:C5"/>
    <mergeCell ref="G5:I5"/>
    <mergeCell ref="A14:C14"/>
    <mergeCell ref="A17:C17"/>
    <mergeCell ref="A8:L8"/>
    <mergeCell ref="D18:F18"/>
    <mergeCell ref="D9:F9"/>
    <mergeCell ref="A4:L4"/>
    <mergeCell ref="A10:C10"/>
    <mergeCell ref="A13:C13"/>
    <mergeCell ref="D14:F14"/>
    <mergeCell ref="D5:F5"/>
    <mergeCell ref="J18:L18"/>
    <mergeCell ref="A9:C9"/>
    <mergeCell ref="G9:I9"/>
    <mergeCell ref="J17:L17"/>
    <mergeCell ref="D10:F10"/>
    <mergeCell ref="J5:L5"/>
    <mergeCell ref="J14:L14"/>
    <mergeCell ref="J10:L10"/>
    <mergeCell ref="J13:L13"/>
    <mergeCell ref="A1:L1"/>
    <mergeCell ref="A6:C6"/>
    <mergeCell ref="G17:I17"/>
    <mergeCell ref="J9:L9"/>
    <mergeCell ref="D6:F6"/>
  </mergeCells>
  <conditionalFormatting sqref="A4:C5">
    <cfRule type="expression" priority="1" dxfId="0">
      <formula>TRUE</formula>
    </cfRule>
  </conditionalFormatting>
  <conditionalFormatting sqref="D4:F5">
    <cfRule type="expression" priority="2" dxfId="0">
      <formula>TRUE</formula>
    </cfRule>
  </conditionalFormatting>
  <conditionalFormatting sqref="G4:I5">
    <cfRule type="expression" priority="3" dxfId="0">
      <formula>TRUE</formula>
    </cfRule>
  </conditionalFormatting>
  <conditionalFormatting sqref="J4:L5">
    <cfRule type="expression" priority="4" dxfId="0">
      <formula>TRUE</formula>
    </cfRule>
  </conditionalFormatting>
  <conditionalFormatting sqref="A7:C8">
    <cfRule type="expression" priority="5" dxfId="0">
      <formula>TRUE</formula>
    </cfRule>
  </conditionalFormatting>
  <conditionalFormatting sqref="D7:F8">
    <cfRule type="expression" priority="6" dxfId="0">
      <formula>TRUE</formula>
    </cfRule>
  </conditionalFormatting>
  <conditionalFormatting sqref="G7:I8">
    <cfRule type="expression" priority="7" dxfId="0">
      <formula>TRUE</formula>
    </cfRule>
  </conditionalFormatting>
  <conditionalFormatting sqref="J7:L8">
    <cfRule type="expression" priority="8" dxfId="0">
      <formula>TRUE</formula>
    </cfRule>
  </conditionalFormatting>
  <conditionalFormatting sqref="A10:C11">
    <cfRule type="expression" priority="9" dxfId="0">
      <formula>TRUE</formula>
    </cfRule>
  </conditionalFormatting>
  <conditionalFormatting sqref="D10:F11">
    <cfRule type="expression" priority="10" dxfId="0">
      <formula>TRUE</formula>
    </cfRule>
  </conditionalFormatting>
  <conditionalFormatting sqref="G10:I11">
    <cfRule type="expression" priority="11" dxfId="0">
      <formula>TRUE</formula>
    </cfRule>
  </conditionalFormatting>
  <conditionalFormatting sqref="J10:L11">
    <cfRule type="expression" priority="12" dxfId="0">
      <formula>TRUE</formula>
    </cfRule>
  </conditionalFormatting>
  <conditionalFormatting sqref="A13:C14">
    <cfRule type="expression" priority="13" dxfId="0">
      <formula>TRUE</formula>
    </cfRule>
  </conditionalFormatting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2F6F68"/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6" customWidth="1" min="4" max="4"/>
    <col width="20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24" customWidth="1" min="11" max="11"/>
    <col width="20" customWidth="1" min="12" max="12"/>
    <col width="18" customWidth="1" min="13" max="13"/>
    <col width="24" customWidth="1" min="14" max="14"/>
    <col width="18" customWidth="1" min="15" max="15"/>
    <col width="34" customWidth="1" min="16" max="16"/>
  </cols>
  <sheetData>
    <row r="1" ht="30" customHeight="1">
      <c r="A1" s="1" t="inlineStr">
        <is>
          <t>Client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4" customHeight="1">
      <c r="A2" s="3" t="inlineStr">
        <is>
          <t>Client-level records only. No worker private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Client ID</t>
        </is>
      </c>
      <c r="B3" s="4" t="inlineStr">
        <is>
          <t>Client Display Name</t>
        </is>
      </c>
      <c r="C3" s="4" t="inlineStr">
        <is>
          <t>Client Legal Name</t>
        </is>
      </c>
      <c r="D3" s="4" t="inlineStr">
        <is>
          <t>Client Status</t>
        </is>
      </c>
      <c r="E3" s="4" t="inlineStr">
        <is>
          <t>Primary Contact Alias</t>
        </is>
      </c>
      <c r="F3" s="4" t="inlineStr">
        <is>
          <t>Contact Method</t>
        </is>
      </c>
      <c r="G3" s="4" t="inlineStr">
        <is>
          <t>Region</t>
        </is>
      </c>
      <c r="H3" s="4" t="inlineStr">
        <is>
          <t>Industry</t>
        </is>
      </c>
      <c r="I3" s="4" t="inlineStr">
        <is>
          <t>Onboarded Date</t>
        </is>
      </c>
      <c r="J3" s="4" t="inlineStr">
        <is>
          <t>Offboarded Date</t>
        </is>
      </c>
      <c r="K3" s="4" t="inlineStr">
        <is>
          <t>Client Ledger Location Alias</t>
        </is>
      </c>
      <c r="L3" s="4" t="inlineStr">
        <is>
          <t>Worker Data Owner</t>
        </is>
      </c>
      <c r="M3" s="4" t="inlineStr">
        <is>
          <t>Allowed Worker Count</t>
        </is>
      </c>
      <c r="N3" s="4" t="inlineStr">
        <is>
          <t>Current Worker Count Reported</t>
        </is>
      </c>
      <c r="O3" s="4" t="inlineStr">
        <is>
          <t>Data Privacy Level</t>
        </is>
      </c>
      <c r="P3" s="4" t="inlineStr">
        <is>
          <t>Notes</t>
        </is>
      </c>
    </row>
    <row r="4">
      <c r="A4" s="9" t="inlineStr">
        <is>
          <t>CL-001</t>
        </is>
      </c>
      <c r="B4" s="9" t="inlineStr">
        <is>
          <t>Demo Field Services</t>
        </is>
      </c>
      <c r="C4" s="9" t="inlineStr">
        <is>
          <t>Demo Field Services LLC</t>
        </is>
      </c>
      <c r="D4" s="9" t="inlineStr">
        <is>
          <t>Active</t>
        </is>
      </c>
      <c r="E4" s="9" t="inlineStr">
        <is>
          <t>demo.owner.alias</t>
        </is>
      </c>
      <c r="F4" s="9" t="inlineStr">
        <is>
          <t>Support Alias</t>
        </is>
      </c>
      <c r="G4" s="9" t="inlineStr">
        <is>
          <t>Central</t>
        </is>
      </c>
      <c r="H4" s="9" t="inlineStr">
        <is>
          <t>Field Services</t>
        </is>
      </c>
      <c r="I4" s="15" t="inlineStr">
        <is>
          <t>2026-05-01</t>
        </is>
      </c>
      <c r="J4" s="15" t="inlineStr"/>
      <c r="K4" s="9" t="inlineStr">
        <is>
          <t>LEDGER-ALIAS-DEMO-001</t>
        </is>
      </c>
      <c r="L4" s="9" t="inlineStr">
        <is>
          <t>Client Owned</t>
        </is>
      </c>
      <c r="M4" s="16" t="n">
        <v>14</v>
      </c>
      <c r="N4" s="16" t="n">
        <v>12</v>
      </c>
      <c r="O4" s="9" t="inlineStr">
        <is>
          <t>Client Controlled</t>
        </is>
      </c>
      <c r="P4" s="9" t="inlineStr">
        <is>
          <t>Primary demo client for owner-control examples.</t>
        </is>
      </c>
    </row>
    <row r="5">
      <c r="A5" s="7" t="inlineStr">
        <is>
          <t>CL-002</t>
        </is>
      </c>
      <c r="B5" s="7" t="inlineStr">
        <is>
          <t>Sample Industrial Client</t>
        </is>
      </c>
      <c r="C5" s="7" t="inlineStr">
        <is>
          <t>Sample Industrial Client LLC</t>
        </is>
      </c>
      <c r="D5" s="7" t="inlineStr">
        <is>
          <t>Paused</t>
        </is>
      </c>
      <c r="E5" s="7" t="inlineStr">
        <is>
          <t>sample.billing.alias</t>
        </is>
      </c>
      <c r="F5" s="7" t="inlineStr">
        <is>
          <t>Billing Alias</t>
        </is>
      </c>
      <c r="G5" s="7" t="inlineStr">
        <is>
          <t>West</t>
        </is>
      </c>
      <c r="H5" s="7" t="inlineStr">
        <is>
          <t>Industrial</t>
        </is>
      </c>
      <c r="I5" s="17" t="inlineStr">
        <is>
          <t>2026-05-08</t>
        </is>
      </c>
      <c r="J5" s="17" t="inlineStr"/>
      <c r="K5" s="7" t="inlineStr">
        <is>
          <t>LEDGER-ALIAS-DEMO-002</t>
        </is>
      </c>
      <c r="L5" s="7" t="inlineStr">
        <is>
          <t>Client Owned</t>
        </is>
      </c>
      <c r="M5" s="18" t="n">
        <v>8</v>
      </c>
      <c r="N5" s="18" t="n">
        <v>8</v>
      </c>
      <c r="O5" s="7" t="inlineStr">
        <is>
          <t>Count Only</t>
        </is>
      </c>
      <c r="P5" s="7" t="inlineStr">
        <is>
          <t>Paused during plan review.</t>
        </is>
      </c>
    </row>
    <row r="6">
      <c r="A6" s="9" t="inlineStr">
        <is>
          <t>CL-003</t>
        </is>
      </c>
      <c r="B6" s="9" t="inlineStr">
        <is>
          <t>Training Utility Client</t>
        </is>
      </c>
      <c r="C6" s="9" t="inlineStr">
        <is>
          <t>Training Utility Client Co.</t>
        </is>
      </c>
      <c r="D6" s="9" t="inlineStr">
        <is>
          <t>Suspended</t>
        </is>
      </c>
      <c r="E6" s="9" t="inlineStr">
        <is>
          <t>training.support.alias</t>
        </is>
      </c>
      <c r="F6" s="9" t="inlineStr">
        <is>
          <t>Support Alias</t>
        </is>
      </c>
      <c r="G6" s="9" t="inlineStr">
        <is>
          <t>South</t>
        </is>
      </c>
      <c r="H6" s="9" t="inlineStr">
        <is>
          <t>Utilities</t>
        </is>
      </c>
      <c r="I6" s="15" t="inlineStr">
        <is>
          <t>2026-05-15</t>
        </is>
      </c>
      <c r="J6" s="15" t="inlineStr"/>
      <c r="K6" s="9" t="inlineStr">
        <is>
          <t>LEDGER-ALIAS-DEMO-003</t>
        </is>
      </c>
      <c r="L6" s="9" t="inlineStr">
        <is>
          <t>Client Owned</t>
        </is>
      </c>
      <c r="M6" s="16" t="n">
        <v>20</v>
      </c>
      <c r="N6" s="16" t="n">
        <v>19</v>
      </c>
      <c r="O6" s="9" t="inlineStr">
        <is>
          <t>Alias Only</t>
        </is>
      </c>
      <c r="P6" s="9" t="inlineStr">
        <is>
          <t>Suspended pending owner review.</t>
        </is>
      </c>
    </row>
    <row r="7">
      <c r="A7" s="7" t="inlineStr">
        <is>
          <t>CL-004</t>
        </is>
      </c>
      <c r="B7" s="7" t="inlineStr">
        <is>
          <t>Pilot Construction Client</t>
        </is>
      </c>
      <c r="C7" s="7" t="inlineStr">
        <is>
          <t>Pilot Construction Client LLC</t>
        </is>
      </c>
      <c r="D7" s="7" t="inlineStr">
        <is>
          <t>Offboarded</t>
        </is>
      </c>
      <c r="E7" s="7" t="inlineStr">
        <is>
          <t>pilot.archive.alias</t>
        </is>
      </c>
      <c r="F7" s="7" t="inlineStr">
        <is>
          <t>Registry Alias</t>
        </is>
      </c>
      <c r="G7" s="7" t="inlineStr">
        <is>
          <t>North</t>
        </is>
      </c>
      <c r="H7" s="7" t="inlineStr">
        <is>
          <t>Construction</t>
        </is>
      </c>
      <c r="I7" s="17" t="inlineStr">
        <is>
          <t>2026-04-10</t>
        </is>
      </c>
      <c r="J7" s="17" t="inlineStr">
        <is>
          <t>2026-06-02</t>
        </is>
      </c>
      <c r="K7" s="7" t="inlineStr">
        <is>
          <t>LEDGER-ALIAS-DEMO-004</t>
        </is>
      </c>
      <c r="L7" s="7" t="inlineStr">
        <is>
          <t>Client Exported Summary</t>
        </is>
      </c>
      <c r="M7" s="18" t="n">
        <v>6</v>
      </c>
      <c r="N7" s="18" t="n">
        <v>0</v>
      </c>
      <c r="O7" s="7" t="inlineStr">
        <is>
          <t>Count Only</t>
        </is>
      </c>
      <c r="P7" s="7" t="inlineStr">
        <is>
          <t>Archived client with no active bridge access.</t>
        </is>
      </c>
    </row>
    <row r="8">
      <c r="A8" s="9" t="inlineStr">
        <is>
          <t>CL-005</t>
        </is>
      </c>
      <c r="B8" s="9" t="inlineStr">
        <is>
          <t>Bridge Demo Utilities</t>
        </is>
      </c>
      <c r="C8" s="9" t="inlineStr">
        <is>
          <t>Bridge Demo Utilities LLC</t>
        </is>
      </c>
      <c r="D8" s="9" t="inlineStr">
        <is>
          <t>Active</t>
        </is>
      </c>
      <c r="E8" s="9" t="inlineStr">
        <is>
          <t>bridge.ops.alias</t>
        </is>
      </c>
      <c r="F8" s="9" t="inlineStr">
        <is>
          <t>Ops Alias</t>
        </is>
      </c>
      <c r="G8" s="9" t="inlineStr">
        <is>
          <t>East</t>
        </is>
      </c>
      <c r="H8" s="9" t="inlineStr">
        <is>
          <t>Utilities</t>
        </is>
      </c>
      <c r="I8" s="15" t="inlineStr">
        <is>
          <t>2026-06-01</t>
        </is>
      </c>
      <c r="J8" s="15" t="inlineStr"/>
      <c r="K8" s="9" t="inlineStr">
        <is>
          <t>LEDGER-ALIAS-DEMO-005</t>
        </is>
      </c>
      <c r="L8" s="9" t="inlineStr">
        <is>
          <t>Client Owned</t>
        </is>
      </c>
      <c r="M8" s="16" t="n">
        <v>10</v>
      </c>
      <c r="N8" s="16" t="n">
        <v>9</v>
      </c>
      <c r="O8" s="9" t="inlineStr">
        <is>
          <t>Client Controlled</t>
        </is>
      </c>
      <c r="P8" s="9" t="inlineStr">
        <is>
          <t>Active bridge demo client.</t>
        </is>
      </c>
    </row>
  </sheetData>
  <autoFilter ref="A3:P8"/>
  <mergeCells count="2">
    <mergeCell ref="A1:P1"/>
    <mergeCell ref="A2:P2"/>
  </mergeCells>
  <conditionalFormatting sqref="D4:D200">
    <cfRule type="expression" priority="1" dxfId="1">
      <formula>$D4="Active"</formula>
    </cfRule>
    <cfRule type="expression" priority="2" dxfId="2">
      <formula>$D4="Paused"</formula>
    </cfRule>
    <cfRule type="expression" priority="3" dxfId="3">
      <formula>$D4="Suspended"</formula>
    </cfRule>
    <cfRule type="expression" priority="4" dxfId="4">
      <formula>$D4="Offboarded"</formula>
    </cfRule>
    <cfRule type="expression" priority="5" dxfId="5">
      <formula>$D4="Prospect"</formula>
    </cfRule>
  </conditionalFormatting>
  <dataValidations count="4">
    <dataValidation sqref="D4:D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Lists'!$A$5:$A$9</formula1>
    </dataValidation>
    <dataValidation sqref="L4:L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Lists'!$Q$5:$Q$7</formula1>
    </dataValidation>
    <dataValidation sqref="O4:O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Lists'!$R$5:$R$7</formula1>
    </dataValidation>
    <dataValidation sqref="M4:N200" showDropDown="0" showInputMessage="0" showErrorMessage="0" allowBlank="1" errorTitle="Invalid count" error="Enter a whole number greater than or equal to the minimum." promptTitle="Count" prompt="Enter a count value." type="whole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B6C9A"/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4" customWidth="1" min="4" max="4"/>
    <col width="16" customWidth="1" min="5" max="5"/>
    <col width="16" customWidth="1" min="6" max="6"/>
    <col width="22" customWidth="1" min="7" max="7"/>
    <col width="18" customWidth="1" min="8" max="8"/>
    <col width="14" customWidth="1" min="9" max="9"/>
    <col width="20" customWidth="1" min="10" max="10"/>
    <col width="16" customWidth="1" min="11" max="11"/>
    <col width="16" customWidth="1" min="12" max="12"/>
    <col width="28" customWidth="1" min="13" max="13"/>
  </cols>
  <sheetData>
    <row r="1" ht="30" customHeight="1">
      <c r="A1" s="1" t="inlineStr">
        <is>
          <t>Client Access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4" customHeight="1">
      <c r="A2" s="3" t="inlineStr">
        <is>
          <t>Access status for clients only. No worker-level access records.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Access Record ID</t>
        </is>
      </c>
      <c r="B3" s="4" t="inlineStr">
        <is>
          <t>Client ID</t>
        </is>
      </c>
      <c r="C3" s="4" t="inlineStr">
        <is>
          <t>Client Display Name</t>
        </is>
      </c>
      <c r="D3" s="4" t="inlineStr">
        <is>
          <t>Access Status</t>
        </is>
      </c>
      <c r="E3" s="4" t="inlineStr">
        <is>
          <t>Access Start Date</t>
        </is>
      </c>
      <c r="F3" s="4" t="inlineStr">
        <is>
          <t>Access End Date</t>
        </is>
      </c>
      <c r="G3" s="4" t="inlineStr">
        <is>
          <t>Access Reason</t>
        </is>
      </c>
      <c r="H3" s="4" t="inlineStr">
        <is>
          <t>Disabled New Submissions</t>
        </is>
      </c>
      <c r="I3" s="4" t="inlineStr">
        <is>
          <t>Disabled Bridge</t>
        </is>
      </c>
      <c r="J3" s="4" t="inlineStr">
        <is>
          <t>Disabled Calendar Sync</t>
        </is>
      </c>
      <c r="K3" s="4" t="inlineStr">
        <is>
          <t>Last Access Review</t>
        </is>
      </c>
      <c r="L3" s="4" t="inlineStr">
        <is>
          <t>Reviewed By Alias</t>
        </is>
      </c>
      <c r="M3" s="4" t="inlineStr">
        <is>
          <t>Notes</t>
        </is>
      </c>
    </row>
    <row r="4">
      <c r="A4" s="9" t="inlineStr">
        <is>
          <t>AC-001</t>
        </is>
      </c>
      <c r="B4" s="9" t="inlineStr">
        <is>
          <t>CL-001</t>
        </is>
      </c>
      <c r="C4" s="9" t="inlineStr">
        <is>
          <t>Demo Field Services</t>
        </is>
      </c>
      <c r="D4" s="9" t="inlineStr">
        <is>
          <t>Enabled</t>
        </is>
      </c>
      <c r="E4" s="15" t="inlineStr">
        <is>
          <t>2026-05-01</t>
        </is>
      </c>
      <c r="F4" s="15" t="inlineStr"/>
      <c r="G4" s="9" t="inlineStr">
        <is>
          <t>Initial onboarding</t>
        </is>
      </c>
      <c r="H4" s="9" t="inlineStr">
        <is>
          <t>FALSE</t>
        </is>
      </c>
      <c r="I4" s="9" t="inlineStr">
        <is>
          <t>FALSE</t>
        </is>
      </c>
      <c r="J4" s="9" t="inlineStr">
        <is>
          <t>FALSE</t>
        </is>
      </c>
      <c r="K4" s="15" t="inlineStr">
        <is>
          <t>2026-06-01</t>
        </is>
      </c>
      <c r="L4" s="9" t="inlineStr">
        <is>
          <t>Owner</t>
        </is>
      </c>
      <c r="M4" s="9" t="inlineStr">
        <is>
          <t>Current access with active bridge</t>
        </is>
      </c>
    </row>
    <row r="5">
      <c r="A5" s="7" t="inlineStr">
        <is>
          <t>AC-002</t>
        </is>
      </c>
      <c r="B5" s="7" t="inlineStr">
        <is>
          <t>CL-002</t>
        </is>
      </c>
      <c r="C5" s="7" t="inlineStr">
        <is>
          <t>Sample Industrial Client</t>
        </is>
      </c>
      <c r="D5" s="7" t="inlineStr">
        <is>
          <t>Limited</t>
        </is>
      </c>
      <c r="E5" s="17" t="inlineStr">
        <is>
          <t>2026-05-08</t>
        </is>
      </c>
      <c r="F5" s="17" t="inlineStr"/>
      <c r="G5" s="7" t="inlineStr">
        <is>
          <t>Billing review pending</t>
        </is>
      </c>
      <c r="H5" s="7" t="inlineStr">
        <is>
          <t>TRUE</t>
        </is>
      </c>
      <c r="I5" s="7" t="inlineStr">
        <is>
          <t>FALSE</t>
        </is>
      </c>
      <c r="J5" s="7" t="inlineStr">
        <is>
          <t>TRUE</t>
        </is>
      </c>
      <c r="K5" s="17" t="inlineStr">
        <is>
          <t>2026-06-05</t>
        </is>
      </c>
      <c r="L5" s="7" t="inlineStr">
        <is>
          <t>Owner</t>
        </is>
      </c>
      <c r="M5" s="7" t="inlineStr">
        <is>
          <t>New submissions limited during review</t>
        </is>
      </c>
    </row>
    <row r="6">
      <c r="A6" s="9" t="inlineStr">
        <is>
          <t>AC-003</t>
        </is>
      </c>
      <c r="B6" s="9" t="inlineStr">
        <is>
          <t>CL-003</t>
        </is>
      </c>
      <c r="C6" s="9" t="inlineStr">
        <is>
          <t>Training Utility Client</t>
        </is>
      </c>
      <c r="D6" s="9" t="inlineStr">
        <is>
          <t>Suspended</t>
        </is>
      </c>
      <c r="E6" s="15" t="inlineStr">
        <is>
          <t>2026-05-15</t>
        </is>
      </c>
      <c r="F6" s="15" t="inlineStr"/>
      <c r="G6" s="9" t="inlineStr">
        <is>
          <t>Owner pause requested</t>
        </is>
      </c>
      <c r="H6" s="9" t="inlineStr">
        <is>
          <t>TRUE</t>
        </is>
      </c>
      <c r="I6" s="9" t="inlineStr">
        <is>
          <t>TRUE</t>
        </is>
      </c>
      <c r="J6" s="9" t="inlineStr">
        <is>
          <t>TRUE</t>
        </is>
      </c>
      <c r="K6" s="15" t="inlineStr">
        <is>
          <t>2026-06-08</t>
        </is>
      </c>
      <c r="L6" s="9" t="inlineStr">
        <is>
          <t>Owner</t>
        </is>
      </c>
      <c r="M6" s="9" t="inlineStr">
        <is>
          <t>Bridge and sync disabled</t>
        </is>
      </c>
    </row>
    <row r="7">
      <c r="A7" s="7" t="inlineStr">
        <is>
          <t>AC-004</t>
        </is>
      </c>
      <c r="B7" s="7" t="inlineStr">
        <is>
          <t>CL-004</t>
        </is>
      </c>
      <c r="C7" s="7" t="inlineStr">
        <is>
          <t>Pilot Construction Client</t>
        </is>
      </c>
      <c r="D7" s="7" t="inlineStr">
        <is>
          <t>Disabled</t>
        </is>
      </c>
      <c r="E7" s="17" t="inlineStr">
        <is>
          <t>2026-04-10</t>
        </is>
      </c>
      <c r="F7" s="17" t="inlineStr">
        <is>
          <t>2026-06-02</t>
        </is>
      </c>
      <c r="G7" s="7" t="inlineStr">
        <is>
          <t>Offboarded client</t>
        </is>
      </c>
      <c r="H7" s="7" t="inlineStr">
        <is>
          <t>TRUE</t>
        </is>
      </c>
      <c r="I7" s="7" t="inlineStr">
        <is>
          <t>TRUE</t>
        </is>
      </c>
      <c r="J7" s="7" t="inlineStr">
        <is>
          <t>TRUE</t>
        </is>
      </c>
      <c r="K7" s="17" t="inlineStr">
        <is>
          <t>2026-06-02</t>
        </is>
      </c>
      <c r="L7" s="7" t="inlineStr">
        <is>
          <t>Owner</t>
        </is>
      </c>
      <c r="M7" s="7" t="inlineStr">
        <is>
          <t>All access closed after offboarding</t>
        </is>
      </c>
    </row>
  </sheetData>
  <autoFilter ref="A3:M7"/>
  <mergeCells count="2">
    <mergeCell ref="A2:M2"/>
    <mergeCell ref="A1:M1"/>
  </mergeCells>
  <conditionalFormatting sqref="D4:D200">
    <cfRule type="expression" priority="1" dxfId="1">
      <formula>$D4="Enabled"</formula>
    </cfRule>
    <cfRule type="expression" priority="2" dxfId="2">
      <formula>$D4="Limited"</formula>
    </cfRule>
    <cfRule type="expression" priority="3" dxfId="3">
      <formula>$D4="Suspended"</formula>
    </cfRule>
    <cfRule type="expression" priority="4" dxfId="4">
      <formula>$D4="Disabled"</formula>
    </cfRule>
  </conditionalFormatting>
  <dataValidations count="2">
    <dataValidation sqref="D4:D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Lists'!$B$5:$B$8</formula1>
    </dataValidation>
    <dataValidation sqref="H4:J200" showDropDown="0" showInputMessage="0" showErrorMessage="0" allowBlank="1" errorTitle="Invalid value" error="Choose TRUE or FALSE." promptTitle="Boolean" prompt="Use TRUE or FALSE.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28" customWidth="1" min="12" max="12"/>
  </cols>
  <sheetData>
    <row r="1" ht="30" customHeight="1">
      <c r="A1" s="1" t="inlineStr">
        <is>
          <t>License Billing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Client-level billing and allowed-worker counts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License Record ID</t>
        </is>
      </c>
      <c r="B3" s="4" t="inlineStr">
        <is>
          <t>Client ID</t>
        </is>
      </c>
      <c r="C3" s="4" t="inlineStr">
        <is>
          <t>Plan Tier</t>
        </is>
      </c>
      <c r="D3" s="4" t="inlineStr">
        <is>
          <t>Billing Status</t>
        </is>
      </c>
      <c r="E3" s="4" t="inlineStr">
        <is>
          <t>Billing Period</t>
        </is>
      </c>
      <c r="F3" s="4" t="inlineStr">
        <is>
          <t>Renewal Date</t>
        </is>
      </c>
      <c r="G3" s="4" t="inlineStr">
        <is>
          <t>Allowed Worker Count</t>
        </is>
      </c>
      <c r="H3" s="4" t="inlineStr">
        <is>
          <t>Billing Worker Count</t>
        </is>
      </c>
      <c r="I3" s="4" t="inlineStr">
        <is>
          <t>Last Invoice Alias</t>
        </is>
      </c>
      <c r="J3" s="4" t="inlineStr">
        <is>
          <t>Payment Method Alias</t>
        </is>
      </c>
      <c r="K3" s="4" t="inlineStr">
        <is>
          <t>Grace Period Ends</t>
        </is>
      </c>
      <c r="L3" s="4" t="inlineStr">
        <is>
          <t>Billing Notes</t>
        </is>
      </c>
    </row>
    <row r="4">
      <c r="A4" s="9" t="inlineStr">
        <is>
          <t>LIC-001</t>
        </is>
      </c>
      <c r="B4" s="9" t="inlineStr">
        <is>
          <t>CL-001</t>
        </is>
      </c>
      <c r="C4" s="9" t="inlineStr">
        <is>
          <t>Standard</t>
        </is>
      </c>
      <c r="D4" s="9" t="inlineStr">
        <is>
          <t>Current</t>
        </is>
      </c>
      <c r="E4" s="19" t="inlineStr">
        <is>
          <t>2026-06</t>
        </is>
      </c>
      <c r="F4" s="15" t="inlineStr">
        <is>
          <t>2026-07-01</t>
        </is>
      </c>
      <c r="G4" s="16" t="n">
        <v>14</v>
      </c>
      <c r="H4" s="16" t="n">
        <v>12</v>
      </c>
      <c r="I4" s="9" t="inlineStr">
        <is>
          <t>INV-ALIAS-001</t>
        </is>
      </c>
      <c r="J4" s="9" t="inlineStr">
        <is>
          <t>PM-ALIAS-001</t>
        </is>
      </c>
      <c r="K4" s="15" t="inlineStr"/>
      <c r="L4" s="9" t="inlineStr">
        <is>
          <t>Current and in good standing</t>
        </is>
      </c>
    </row>
    <row r="5">
      <c r="A5" s="7" t="inlineStr">
        <is>
          <t>LIC-002</t>
        </is>
      </c>
      <c r="B5" s="7" t="inlineStr">
        <is>
          <t>CL-002</t>
        </is>
      </c>
      <c r="C5" s="7" t="inlineStr">
        <is>
          <t>Pro</t>
        </is>
      </c>
      <c r="D5" s="7" t="inlineStr">
        <is>
          <t>Grace Period</t>
        </is>
      </c>
      <c r="E5" s="20" t="inlineStr">
        <is>
          <t>2026-06</t>
        </is>
      </c>
      <c r="F5" s="17" t="inlineStr">
        <is>
          <t>2026-06-30</t>
        </is>
      </c>
      <c r="G5" s="18" t="n">
        <v>8</v>
      </c>
      <c r="H5" s="18" t="n">
        <v>8</v>
      </c>
      <c r="I5" s="7" t="inlineStr">
        <is>
          <t>INV-ALIAS-002</t>
        </is>
      </c>
      <c r="J5" s="7" t="inlineStr">
        <is>
          <t>PM-ALIAS-002</t>
        </is>
      </c>
      <c r="K5" s="17" t="inlineStr">
        <is>
          <t>2026-06-30</t>
        </is>
      </c>
      <c r="L5" s="7" t="inlineStr">
        <is>
          <t>Grace period under owner review</t>
        </is>
      </c>
    </row>
    <row r="6">
      <c r="A6" s="9" t="inlineStr">
        <is>
          <t>LIC-003</t>
        </is>
      </c>
      <c r="B6" s="9" t="inlineStr">
        <is>
          <t>CL-003</t>
        </is>
      </c>
      <c r="C6" s="9" t="inlineStr">
        <is>
          <t>Custom</t>
        </is>
      </c>
      <c r="D6" s="9" t="inlineStr">
        <is>
          <t>Overdue</t>
        </is>
      </c>
      <c r="E6" s="19" t="inlineStr">
        <is>
          <t>2026-06</t>
        </is>
      </c>
      <c r="F6" s="15" t="inlineStr">
        <is>
          <t>2026-06-25</t>
        </is>
      </c>
      <c r="G6" s="16" t="n">
        <v>20</v>
      </c>
      <c r="H6" s="16" t="n">
        <v>19</v>
      </c>
      <c r="I6" s="9" t="inlineStr">
        <is>
          <t>INV-ALIAS-003</t>
        </is>
      </c>
      <c r="J6" s="9" t="inlineStr">
        <is>
          <t>PM-ALIAS-003</t>
        </is>
      </c>
      <c r="K6" s="15" t="inlineStr">
        <is>
          <t>2026-06-15</t>
        </is>
      </c>
      <c r="L6" s="9" t="inlineStr">
        <is>
          <t>Billing past due</t>
        </is>
      </c>
    </row>
    <row r="7">
      <c r="A7" s="7" t="inlineStr">
        <is>
          <t>LIC-004</t>
        </is>
      </c>
      <c r="B7" s="7" t="inlineStr">
        <is>
          <t>CL-004</t>
        </is>
      </c>
      <c r="C7" s="7" t="inlineStr">
        <is>
          <t>Demo</t>
        </is>
      </c>
      <c r="D7" s="7" t="inlineStr">
        <is>
          <t>Canceled</t>
        </is>
      </c>
      <c r="E7" s="20" t="inlineStr">
        <is>
          <t>2026-05</t>
        </is>
      </c>
      <c r="F7" s="17" t="inlineStr">
        <is>
          <t>2026-06-02</t>
        </is>
      </c>
      <c r="G7" s="18" t="n">
        <v>6</v>
      </c>
      <c r="H7" s="18" t="n">
        <v>0</v>
      </c>
      <c r="I7" s="7" t="inlineStr">
        <is>
          <t>INV-ALIAS-004</t>
        </is>
      </c>
      <c r="J7" s="7" t="inlineStr">
        <is>
          <t>PM-ALIAS-004</t>
        </is>
      </c>
      <c r="K7" s="17" t="inlineStr"/>
      <c r="L7" s="7" t="inlineStr">
        <is>
          <t>Offboarded client</t>
        </is>
      </c>
    </row>
    <row r="8">
      <c r="A8" s="9" t="inlineStr">
        <is>
          <t>LIC-005</t>
        </is>
      </c>
      <c r="B8" s="9" t="inlineStr">
        <is>
          <t>CL-005</t>
        </is>
      </c>
      <c r="C8" s="9" t="inlineStr">
        <is>
          <t>Starter</t>
        </is>
      </c>
      <c r="D8" s="9" t="inlineStr">
        <is>
          <t>Trial</t>
        </is>
      </c>
      <c r="E8" s="19" t="inlineStr">
        <is>
          <t>2026-06</t>
        </is>
      </c>
      <c r="F8" s="15" t="inlineStr">
        <is>
          <t>2026-07-10</t>
        </is>
      </c>
      <c r="G8" s="16" t="n">
        <v>10</v>
      </c>
      <c r="H8" s="16" t="n">
        <v>9</v>
      </c>
      <c r="I8" s="9" t="inlineStr">
        <is>
          <t>INV-ALIAS-005</t>
        </is>
      </c>
      <c r="J8" s="9" t="inlineStr">
        <is>
          <t>PM-ALIAS-005</t>
        </is>
      </c>
      <c r="K8" s="15" t="inlineStr"/>
      <c r="L8" s="9" t="inlineStr">
        <is>
          <t>Trial client during bridge demo</t>
        </is>
      </c>
    </row>
  </sheetData>
  <autoFilter ref="A3:L8"/>
  <mergeCells count="2">
    <mergeCell ref="A2:L2"/>
    <mergeCell ref="A1:L1"/>
  </mergeCells>
  <conditionalFormatting sqref="D4:D200">
    <cfRule type="expression" priority="1" dxfId="1">
      <formula>$D4="Current"</formula>
    </cfRule>
    <cfRule type="expression" priority="2" dxfId="2">
      <formula>$D4="Grace Period"</formula>
    </cfRule>
    <cfRule type="expression" priority="3" dxfId="6">
      <formula>$D4="Overdue"</formula>
    </cfRule>
    <cfRule type="expression" priority="4" dxfId="4">
      <formula>$D4="Canceled"</formula>
    </cfRule>
    <cfRule type="expression" priority="5" dxfId="5">
      <formula>$D4="Trial"</formula>
    </cfRule>
  </conditionalFormatting>
  <conditionalFormatting sqref="C4:C200">
    <cfRule type="expression" priority="6" dxfId="5">
      <formula>$C4="Demo"</formula>
    </cfRule>
    <cfRule type="expression" priority="7" dxfId="7">
      <formula>$C4="Starter"</formula>
    </cfRule>
    <cfRule type="expression" priority="8" dxfId="1">
      <formula>$C4="Standard"</formula>
    </cfRule>
    <cfRule type="expression" priority="9" dxfId="8">
      <formula>$C4="Pro"</formula>
    </cfRule>
    <cfRule type="expression" priority="10" dxfId="3">
      <formula>$C4="Custom"</formula>
    </cfRule>
  </conditionalFormatting>
  <dataValidations count="3">
    <dataValidation sqref="C4:C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Lists'!$D$5:$D$9</formula1>
    </dataValidation>
    <dataValidation sqref="D4:D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Lists'!$C$5:$C$9</formula1>
    </dataValidation>
    <dataValidation sqref="G4:H200" showDropDown="0" showInputMessage="0" showErrorMessage="0" allowBlank="1" errorTitle="Invalid count" error="Enter a whole number greater than or equal to the minimum." promptTitle="Count" prompt="Enter a count value." type="whole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D5B7E"/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8" customWidth="1" min="11" max="11"/>
    <col width="24" customWidth="1" min="12" max="12"/>
    <col width="24" customWidth="1" min="13" max="13"/>
  </cols>
  <sheetData>
    <row r="1" ht="30" customHeight="1">
      <c r="A1" s="1" t="inlineStr">
        <is>
          <t>Bridge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4" customHeight="1">
      <c r="A2" s="3" t="inlineStr">
        <is>
          <t>Alias-only bridge health and token status. No real endpoint URLs or tokens.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" t="inlineStr">
        <is>
          <t>Bridge Record ID</t>
        </is>
      </c>
      <c r="B3" s="4" t="inlineStr">
        <is>
          <t>Client ID</t>
        </is>
      </c>
      <c r="C3" s="4" t="inlineStr">
        <is>
          <t>Bridge Status</t>
        </is>
      </c>
      <c r="D3" s="4" t="inlineStr">
        <is>
          <t>Bridge Endpoint Alias</t>
        </is>
      </c>
      <c r="E3" s="4" t="inlineStr">
        <is>
          <t>Token Status</t>
        </is>
      </c>
      <c r="F3" s="4" t="inlineStr">
        <is>
          <t>Token Last Rotated</t>
        </is>
      </c>
      <c r="G3" s="4" t="inlineStr">
        <is>
          <t>Token Rotation Due</t>
        </is>
      </c>
      <c r="H3" s="4" t="inlineStr">
        <is>
          <t>Last Health Check</t>
        </is>
      </c>
      <c r="I3" s="4" t="inlineStr">
        <is>
          <t>Last Successful Submit</t>
        </is>
      </c>
      <c r="J3" s="4" t="inlineStr">
        <is>
          <t>Last Failed Submit</t>
        </is>
      </c>
      <c r="K3" s="4" t="inlineStr">
        <is>
          <t>Pending Intake Count</t>
        </is>
      </c>
      <c r="L3" s="4" t="inlineStr">
        <is>
          <t>Last Error Summary</t>
        </is>
      </c>
      <c r="M3" s="4" t="inlineStr">
        <is>
          <t>Notes</t>
        </is>
      </c>
    </row>
    <row r="4">
      <c r="A4" s="9" t="inlineStr">
        <is>
          <t>BR-001</t>
        </is>
      </c>
      <c r="B4" s="9" t="inlineStr">
        <is>
          <t>CL-001</t>
        </is>
      </c>
      <c r="C4" s="9" t="inlineStr">
        <is>
          <t>Healthy</t>
        </is>
      </c>
      <c r="D4" s="9" t="inlineStr">
        <is>
          <t>BRIDGE-ALIAS-DEMO-001</t>
        </is>
      </c>
      <c r="E4" s="9" t="inlineStr">
        <is>
          <t>Active</t>
        </is>
      </c>
      <c r="F4" s="15" t="inlineStr">
        <is>
          <t>2026-06-08</t>
        </is>
      </c>
      <c r="G4" s="15" t="inlineStr">
        <is>
          <t>2026-07-08</t>
        </is>
      </c>
      <c r="H4" s="15" t="inlineStr">
        <is>
          <t>2026-06-12</t>
        </is>
      </c>
      <c r="I4" s="15" t="inlineStr">
        <is>
          <t>2026-06-12</t>
        </is>
      </c>
      <c r="J4" s="15" t="inlineStr"/>
      <c r="K4" s="16" t="n">
        <v>0</v>
      </c>
      <c r="L4" s="9" t="inlineStr"/>
      <c r="M4" s="9" t="inlineStr">
        <is>
          <t>Stable demo bridge</t>
        </is>
      </c>
    </row>
    <row r="5">
      <c r="A5" s="7" t="inlineStr">
        <is>
          <t>BR-002</t>
        </is>
      </c>
      <c r="B5" s="7" t="inlineStr">
        <is>
          <t>CL-002</t>
        </is>
      </c>
      <c r="C5" s="7" t="inlineStr">
        <is>
          <t>Warning</t>
        </is>
      </c>
      <c r="D5" s="7" t="inlineStr">
        <is>
          <t>BRIDGE-ALIAS-DEMO-002</t>
        </is>
      </c>
      <c r="E5" s="7" t="inlineStr">
        <is>
          <t>Rotate Soon</t>
        </is>
      </c>
      <c r="F5" s="17" t="inlineStr">
        <is>
          <t>2026-06-01</t>
        </is>
      </c>
      <c r="G5" s="17" t="inlineStr">
        <is>
          <t>2026-06-22</t>
        </is>
      </c>
      <c r="H5" s="17" t="inlineStr">
        <is>
          <t>2026-06-11</t>
        </is>
      </c>
      <c r="I5" s="17" t="inlineStr">
        <is>
          <t>2026-06-11</t>
        </is>
      </c>
      <c r="J5" s="17" t="inlineStr">
        <is>
          <t>2026-06-12</t>
        </is>
      </c>
      <c r="K5" s="18" t="n">
        <v>2</v>
      </c>
      <c r="L5" s="7" t="inlineStr">
        <is>
          <t>Submission retries detected</t>
        </is>
      </c>
      <c r="M5" s="7" t="inlineStr">
        <is>
          <t>Alias only</t>
        </is>
      </c>
    </row>
    <row r="6">
      <c r="A6" s="9" t="inlineStr">
        <is>
          <t>BR-003</t>
        </is>
      </c>
      <c r="B6" s="9" t="inlineStr">
        <is>
          <t>CL-003</t>
        </is>
      </c>
      <c r="C6" s="9" t="inlineStr">
        <is>
          <t>Failing</t>
        </is>
      </c>
      <c r="D6" s="9" t="inlineStr">
        <is>
          <t>BRIDGE-ALIAS-DEMO-003</t>
        </is>
      </c>
      <c r="E6" s="9" t="inlineStr">
        <is>
          <t>Revoked</t>
        </is>
      </c>
      <c r="F6" s="15" t="inlineStr">
        <is>
          <t>2026-05-30</t>
        </is>
      </c>
      <c r="G6" s="15" t="inlineStr">
        <is>
          <t>2026-06-15</t>
        </is>
      </c>
      <c r="H6" s="15" t="inlineStr">
        <is>
          <t>2026-06-10</t>
        </is>
      </c>
      <c r="I6" s="15" t="inlineStr"/>
      <c r="J6" s="15" t="inlineStr">
        <is>
          <t>2026-06-10</t>
        </is>
      </c>
      <c r="K6" s="16" t="n">
        <v>5</v>
      </c>
      <c r="L6" s="9" t="inlineStr">
        <is>
          <t>Token rejected by endpoint</t>
        </is>
      </c>
      <c r="M6" s="9" t="inlineStr">
        <is>
          <t>Requires owner review</t>
        </is>
      </c>
    </row>
    <row r="7">
      <c r="A7" s="7" t="inlineStr">
        <is>
          <t>BR-004</t>
        </is>
      </c>
      <c r="B7" s="7" t="inlineStr">
        <is>
          <t>CL-004</t>
        </is>
      </c>
      <c r="C7" s="7" t="inlineStr">
        <is>
          <t>Disabled</t>
        </is>
      </c>
      <c r="D7" s="7" t="inlineStr">
        <is>
          <t>BRIDGE-ALIAS-DEMO-004</t>
        </is>
      </c>
      <c r="E7" s="7" t="inlineStr">
        <is>
          <t>Not Set</t>
        </is>
      </c>
      <c r="F7" s="17" t="inlineStr"/>
      <c r="G7" s="17" t="inlineStr"/>
      <c r="H7" s="17" t="inlineStr">
        <is>
          <t>2026-06-02</t>
        </is>
      </c>
      <c r="I7" s="17" t="inlineStr"/>
      <c r="J7" s="17" t="inlineStr">
        <is>
          <t>2026-06-02</t>
        </is>
      </c>
      <c r="K7" s="18" t="n">
        <v>0</v>
      </c>
      <c r="L7" s="7" t="inlineStr">
        <is>
          <t>Offboarded client</t>
        </is>
      </c>
      <c r="M7" s="7" t="inlineStr">
        <is>
          <t>Bridge disabled</t>
        </is>
      </c>
    </row>
    <row r="8">
      <c r="A8" s="9" t="inlineStr">
        <is>
          <t>BR-005</t>
        </is>
      </c>
      <c r="B8" s="9" t="inlineStr">
        <is>
          <t>CL-005</t>
        </is>
      </c>
      <c r="C8" s="9" t="inlineStr">
        <is>
          <t>Healthy</t>
        </is>
      </c>
      <c r="D8" s="9" t="inlineStr">
        <is>
          <t>BRIDGE-ALIAS-DEMO-005</t>
        </is>
      </c>
      <c r="E8" s="9" t="inlineStr">
        <is>
          <t>Active</t>
        </is>
      </c>
      <c r="F8" s="15" t="inlineStr">
        <is>
          <t>2026-06-05</t>
        </is>
      </c>
      <c r="G8" s="15" t="inlineStr">
        <is>
          <t>2026-07-05</t>
        </is>
      </c>
      <c r="H8" s="15" t="inlineStr">
        <is>
          <t>2026-06-12</t>
        </is>
      </c>
      <c r="I8" s="15" t="inlineStr">
        <is>
          <t>2026-06-12</t>
        </is>
      </c>
      <c r="J8" s="15" t="inlineStr"/>
      <c r="K8" s="16" t="n">
        <v>1</v>
      </c>
      <c r="L8" s="9" t="inlineStr"/>
      <c r="M8" s="9" t="inlineStr">
        <is>
          <t>Active demo bridge</t>
        </is>
      </c>
    </row>
  </sheetData>
  <autoFilter ref="A3:M8"/>
  <mergeCells count="2">
    <mergeCell ref="A2:M2"/>
    <mergeCell ref="A1:M1"/>
  </mergeCells>
  <conditionalFormatting sqref="C4:C200">
    <cfRule type="expression" priority="1" dxfId="1">
      <formula>$C4="Healthy"</formula>
    </cfRule>
    <cfRule type="expression" priority="2" dxfId="2">
      <formula>$C4="Warning"</formula>
    </cfRule>
    <cfRule type="expression" priority="3" dxfId="6">
      <formula>$C4="Failing"</formula>
    </cfRule>
    <cfRule type="expression" priority="4" dxfId="4">
      <formula>$C4="Disabled"</formula>
    </cfRule>
    <cfRule type="expression" priority="5" dxfId="5">
      <formula>$C4="Not Configured"</formula>
    </cfRule>
  </conditionalFormatting>
  <conditionalFormatting sqref="E4:E200">
    <cfRule type="expression" priority="6" dxfId="1">
      <formula>$E4="Active"</formula>
    </cfRule>
    <cfRule type="expression" priority="7" dxfId="2">
      <formula>$E4="Rotate Soon"</formula>
    </cfRule>
    <cfRule type="expression" priority="8" dxfId="3">
      <formula>$E4="Expired"</formula>
    </cfRule>
    <cfRule type="expression" priority="9" dxfId="6">
      <formula>$E4="Revoked"</formula>
    </cfRule>
    <cfRule type="expression" priority="10" dxfId="4">
      <formula>$E4="Not Set"</formula>
    </cfRule>
  </conditionalFormatting>
  <dataValidations count="3">
    <dataValidation sqref="C4:C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Lists'!$E$5:$E$9</formula1>
    </dataValidation>
    <dataValidation sqref="E4:E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Lists'!$F$5:$F$9</formula1>
    </dataValidation>
    <dataValidation sqref="K4:K200" showDropDown="0" showInputMessage="0" showErrorMessage="0" allowBlank="1" errorTitle="Invalid count" error="Enter a whole number greater than or equal to the minimum." promptTitle="Count" prompt="Enter a count value." type="whole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C5E9B"/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26" customWidth="1" min="9" max="9"/>
  </cols>
  <sheetData>
    <row r="1" ht="30" customHeight="1">
      <c r="A1" s="1" t="inlineStr">
        <is>
          <t>Feature Flags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Client-level feature toggles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Flag Record ID</t>
        </is>
      </c>
      <c r="B3" s="4" t="inlineStr">
        <is>
          <t>Client ID</t>
        </is>
      </c>
      <c r="C3" s="4" t="inlineStr">
        <is>
          <t>Feature Name</t>
        </is>
      </c>
      <c r="D3" s="4" t="inlineStr">
        <is>
          <t>Feature Status</t>
        </is>
      </c>
      <c r="E3" s="4" t="inlineStr">
        <is>
          <t>Effective Date</t>
        </is>
      </c>
      <c r="F3" s="4" t="inlineStr">
        <is>
          <t>Expiration Date</t>
        </is>
      </c>
      <c r="G3" s="4" t="inlineStr">
        <is>
          <t>Requires Billing Good Standing</t>
        </is>
      </c>
      <c r="H3" s="4" t="inlineStr">
        <is>
          <t>Requires Bridge Healthy</t>
        </is>
      </c>
      <c r="I3" s="4" t="inlineStr">
        <is>
          <t>Notes</t>
        </is>
      </c>
    </row>
    <row r="4">
      <c r="A4" s="9" t="inlineStr">
        <is>
          <t>FF-001</t>
        </is>
      </c>
      <c r="B4" s="9" t="inlineStr">
        <is>
          <t>CL-001</t>
        </is>
      </c>
      <c r="C4" s="9" t="inlineStr">
        <is>
          <t>Owner Dashboard</t>
        </is>
      </c>
      <c r="D4" s="9" t="inlineStr">
        <is>
          <t>Enabled</t>
        </is>
      </c>
      <c r="E4" s="15" t="inlineStr">
        <is>
          <t>2026-06-01</t>
        </is>
      </c>
      <c r="F4" s="15" t="inlineStr"/>
      <c r="G4" s="9" t="inlineStr">
        <is>
          <t>TRUE</t>
        </is>
      </c>
      <c r="H4" s="9" t="inlineStr">
        <is>
          <t>TRUE</t>
        </is>
      </c>
      <c r="I4" s="9" t="inlineStr">
        <is>
          <t>Dashboard access enabled</t>
        </is>
      </c>
    </row>
    <row r="5">
      <c r="A5" s="7" t="inlineStr">
        <is>
          <t>FF-002</t>
        </is>
      </c>
      <c r="B5" s="7" t="inlineStr">
        <is>
          <t>CL-001</t>
        </is>
      </c>
      <c r="C5" s="7" t="inlineStr">
        <is>
          <t>Calendar Visibility</t>
        </is>
      </c>
      <c r="D5" s="7" t="inlineStr">
        <is>
          <t>Enabled</t>
        </is>
      </c>
      <c r="E5" s="17" t="inlineStr">
        <is>
          <t>2026-06-01</t>
        </is>
      </c>
      <c r="F5" s="17" t="inlineStr"/>
      <c r="G5" s="7" t="inlineStr">
        <is>
          <t>TRUE</t>
        </is>
      </c>
      <c r="H5" s="7" t="inlineStr">
        <is>
          <t>FALSE</t>
        </is>
      </c>
      <c r="I5" s="7" t="inlineStr">
        <is>
          <t>Calendar reference enabled</t>
        </is>
      </c>
    </row>
    <row r="6">
      <c r="A6" s="9" t="inlineStr">
        <is>
          <t>FF-003</t>
        </is>
      </c>
      <c r="B6" s="9" t="inlineStr">
        <is>
          <t>CL-002</t>
        </is>
      </c>
      <c r="C6" s="9" t="inlineStr">
        <is>
          <t>Bridge Submit</t>
        </is>
      </c>
      <c r="D6" s="9" t="inlineStr">
        <is>
          <t>Trial</t>
        </is>
      </c>
      <c r="E6" s="15" t="inlineStr">
        <is>
          <t>2026-06-01</t>
        </is>
      </c>
      <c r="F6" s="15" t="inlineStr">
        <is>
          <t>2026-06-30</t>
        </is>
      </c>
      <c r="G6" s="9" t="inlineStr">
        <is>
          <t>FALSE</t>
        </is>
      </c>
      <c r="H6" s="9" t="inlineStr">
        <is>
          <t>FALSE</t>
        </is>
      </c>
      <c r="I6" s="9" t="inlineStr">
        <is>
          <t>Trial feature flag</t>
        </is>
      </c>
    </row>
    <row r="7">
      <c r="A7" s="7" t="inlineStr">
        <is>
          <t>FF-004</t>
        </is>
      </c>
      <c r="B7" s="7" t="inlineStr">
        <is>
          <t>CL-003</t>
        </is>
      </c>
      <c r="C7" s="7" t="inlineStr">
        <is>
          <t>Bridge Submit</t>
        </is>
      </c>
      <c r="D7" s="7" t="inlineStr">
        <is>
          <t>Locked</t>
        </is>
      </c>
      <c r="E7" s="17" t="inlineStr">
        <is>
          <t>2026-05-15</t>
        </is>
      </c>
      <c r="F7" s="17" t="inlineStr"/>
      <c r="G7" s="7" t="inlineStr">
        <is>
          <t>FALSE</t>
        </is>
      </c>
      <c r="H7" s="7" t="inlineStr">
        <is>
          <t>FALSE</t>
        </is>
      </c>
      <c r="I7" s="7" t="inlineStr">
        <is>
          <t>Locked while suspended</t>
        </is>
      </c>
    </row>
    <row r="8">
      <c r="A8" s="9" t="inlineStr">
        <is>
          <t>FF-005</t>
        </is>
      </c>
      <c r="B8" s="9" t="inlineStr">
        <is>
          <t>CL-004</t>
        </is>
      </c>
      <c r="C8" s="9" t="inlineStr">
        <is>
          <t>Legacy Reporting</t>
        </is>
      </c>
      <c r="D8" s="9" t="inlineStr">
        <is>
          <t>Disabled</t>
        </is>
      </c>
      <c r="E8" s="15" t="inlineStr">
        <is>
          <t>2026-04-10</t>
        </is>
      </c>
      <c r="F8" s="15" t="inlineStr"/>
      <c r="G8" s="9" t="inlineStr">
        <is>
          <t>FALSE</t>
        </is>
      </c>
      <c r="H8" s="9" t="inlineStr">
        <is>
          <t>FALSE</t>
        </is>
      </c>
      <c r="I8" s="9" t="inlineStr">
        <is>
          <t>Offboarded client</t>
        </is>
      </c>
    </row>
  </sheetData>
  <autoFilter ref="A3:I8"/>
  <mergeCells count="2">
    <mergeCell ref="A1:I1"/>
    <mergeCell ref="A2:I2"/>
  </mergeCells>
  <conditionalFormatting sqref="D4:D200">
    <cfRule type="expression" priority="1" dxfId="1">
      <formula>$D4="Enabled"</formula>
    </cfRule>
    <cfRule type="expression" priority="2" dxfId="4">
      <formula>$D4="Disabled"</formula>
    </cfRule>
    <cfRule type="expression" priority="3" dxfId="2">
      <formula>$D4="Trial"</formula>
    </cfRule>
    <cfRule type="expression" priority="4" dxfId="3">
      <formula>$D4="Locked"</formula>
    </cfRule>
  </conditionalFormatting>
  <dataValidations count="2">
    <dataValidation sqref="D4:D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Lists'!$G$5:$G$8</formula1>
    </dataValidation>
    <dataValidation sqref="G4:H200" showDropDown="0" showInputMessage="0" showErrorMessage="0" allowBlank="1" errorTitle="Invalid value" error="Choose TRUE or FALSE." promptTitle="Boolean" prompt="Use TRUE or FALSE.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556B2F"/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8" customWidth="1" min="9" max="9"/>
    <col width="14" customWidth="1" min="10" max="10"/>
    <col width="24" customWidth="1" min="11" max="11"/>
    <col width="22" customWidth="1" min="12" max="12"/>
    <col width="14" customWidth="1" min="13" max="13"/>
    <col width="16" customWidth="1" min="14" max="14"/>
  </cols>
  <sheetData>
    <row r="1" ht="30" customHeight="1">
      <c r="A1" s="1" t="inlineStr">
        <is>
          <t>System Health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3" t="inlineStr">
        <is>
          <t>Operational status only. No worker private detail.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Health Record ID</t>
        </is>
      </c>
      <c r="B3" s="4" t="inlineStr">
        <is>
          <t>Client ID</t>
        </is>
      </c>
      <c r="C3" s="4" t="inlineStr">
        <is>
          <t>Check Date</t>
        </is>
      </c>
      <c r="D3" s="4" t="inlineStr">
        <is>
          <t>Ledger Status</t>
        </is>
      </c>
      <c r="E3" s="4" t="inlineStr">
        <is>
          <t>Bridge Status</t>
        </is>
      </c>
      <c r="F3" s="4" t="inlineStr">
        <is>
          <t>Worker App Status</t>
        </is>
      </c>
      <c r="G3" s="4" t="inlineStr">
        <is>
          <t>Calendar Status</t>
        </is>
      </c>
      <c r="H3" s="4" t="inlineStr">
        <is>
          <t>Backup Status</t>
        </is>
      </c>
      <c r="I3" s="4" t="inlineStr">
        <is>
          <t>Last Backup Alias</t>
        </is>
      </c>
      <c r="J3" s="4" t="inlineStr">
        <is>
          <t>Issue Severity</t>
        </is>
      </c>
      <c r="K3" s="4" t="inlineStr">
        <is>
          <t>Issue Summary</t>
        </is>
      </c>
      <c r="L3" s="4" t="inlineStr">
        <is>
          <t>Owner Action Needed</t>
        </is>
      </c>
      <c r="M3" s="4" t="inlineStr">
        <is>
          <t>Resolved Date</t>
        </is>
      </c>
      <c r="N3" s="4" t="inlineStr">
        <is>
          <t>Notes</t>
        </is>
      </c>
    </row>
    <row r="4">
      <c r="A4" s="9" t="inlineStr">
        <is>
          <t>SH-001</t>
        </is>
      </c>
      <c r="B4" s="9" t="inlineStr">
        <is>
          <t>CL-001</t>
        </is>
      </c>
      <c r="C4" s="15" t="inlineStr">
        <is>
          <t>2026-06-12</t>
        </is>
      </c>
      <c r="D4" s="15" t="inlineStr">
        <is>
          <t>Healthy</t>
        </is>
      </c>
      <c r="E4" s="15" t="inlineStr">
        <is>
          <t>Healthy</t>
        </is>
      </c>
      <c r="F4" s="15" t="inlineStr">
        <is>
          <t>Healthy</t>
        </is>
      </c>
      <c r="G4" s="15" t="inlineStr">
        <is>
          <t>Enabled</t>
        </is>
      </c>
      <c r="H4" s="15" t="inlineStr">
        <is>
          <t>Healthy</t>
        </is>
      </c>
      <c r="I4" s="15" t="inlineStr">
        <is>
          <t>BACKUP-ALIAS-001</t>
        </is>
      </c>
      <c r="J4" s="9" t="inlineStr">
        <is>
          <t>Info</t>
        </is>
      </c>
      <c r="K4" s="9" t="inlineStr">
        <is>
          <t>All systems normal</t>
        </is>
      </c>
      <c r="L4" s="15" t="inlineStr"/>
      <c r="M4" s="15" t="inlineStr"/>
      <c r="N4" s="9" t="inlineStr">
        <is>
          <t>Demo row</t>
        </is>
      </c>
    </row>
    <row r="5">
      <c r="A5" s="7" t="inlineStr">
        <is>
          <t>SH-002</t>
        </is>
      </c>
      <c r="B5" s="7" t="inlineStr">
        <is>
          <t>CL-002</t>
        </is>
      </c>
      <c r="C5" s="17" t="inlineStr">
        <is>
          <t>2026-06-12</t>
        </is>
      </c>
      <c r="D5" s="17" t="inlineStr">
        <is>
          <t>Warning</t>
        </is>
      </c>
      <c r="E5" s="17" t="inlineStr">
        <is>
          <t>Warning</t>
        </is>
      </c>
      <c r="F5" s="17" t="inlineStr">
        <is>
          <t>Healthy</t>
        </is>
      </c>
      <c r="G5" s="17" t="inlineStr">
        <is>
          <t>Limited</t>
        </is>
      </c>
      <c r="H5" s="17" t="inlineStr">
        <is>
          <t>Healthy</t>
        </is>
      </c>
      <c r="I5" s="17" t="inlineStr">
        <is>
          <t>BACKUP-ALIAS-002</t>
        </is>
      </c>
      <c r="J5" s="7" t="inlineStr">
        <is>
          <t>Warning</t>
        </is>
      </c>
      <c r="K5" s="7" t="inlineStr">
        <is>
          <t>Bridge retry threshold reached</t>
        </is>
      </c>
      <c r="L5" s="17" t="inlineStr">
        <is>
          <t>Review bridge routing</t>
        </is>
      </c>
      <c r="M5" s="17" t="inlineStr"/>
      <c r="N5" s="7" t="inlineStr">
        <is>
          <t>Demo row</t>
        </is>
      </c>
    </row>
    <row r="6">
      <c r="A6" s="9" t="inlineStr">
        <is>
          <t>SH-003</t>
        </is>
      </c>
      <c r="B6" s="9" t="inlineStr">
        <is>
          <t>CL-003</t>
        </is>
      </c>
      <c r="C6" s="15" t="inlineStr">
        <is>
          <t>2026-06-12</t>
        </is>
      </c>
      <c r="D6" s="15" t="inlineStr">
        <is>
          <t>Failing</t>
        </is>
      </c>
      <c r="E6" s="15" t="inlineStr">
        <is>
          <t>Failing</t>
        </is>
      </c>
      <c r="F6" s="15" t="inlineStr">
        <is>
          <t>Warning</t>
        </is>
      </c>
      <c r="G6" s="15" t="inlineStr">
        <is>
          <t>Limited</t>
        </is>
      </c>
      <c r="H6" s="15" t="inlineStr">
        <is>
          <t>Warning</t>
        </is>
      </c>
      <c r="I6" s="15" t="inlineStr">
        <is>
          <t>BACKUP-ALIAS-003</t>
        </is>
      </c>
      <c r="J6" s="9" t="inlineStr">
        <is>
          <t>Blocker</t>
        </is>
      </c>
      <c r="K6" s="9" t="inlineStr">
        <is>
          <t>Bridge submit failing</t>
        </is>
      </c>
      <c r="L6" s="15" t="inlineStr">
        <is>
          <t>Restore bridge status</t>
        </is>
      </c>
      <c r="M6" s="15" t="inlineStr"/>
      <c r="N6" s="9" t="inlineStr">
        <is>
          <t>Demo row</t>
        </is>
      </c>
    </row>
    <row r="7">
      <c r="A7" s="7" t="inlineStr">
        <is>
          <t>SH-004</t>
        </is>
      </c>
      <c r="B7" s="7" t="inlineStr">
        <is>
          <t>CL-004</t>
        </is>
      </c>
      <c r="C7" s="17" t="inlineStr">
        <is>
          <t>2026-06-12</t>
        </is>
      </c>
      <c r="D7" s="17" t="inlineStr">
        <is>
          <t>Disabled</t>
        </is>
      </c>
      <c r="E7" s="17" t="inlineStr">
        <is>
          <t>Disabled</t>
        </is>
      </c>
      <c r="F7" s="17" t="inlineStr">
        <is>
          <t>Disabled</t>
        </is>
      </c>
      <c r="G7" s="17" t="inlineStr">
        <is>
          <t>Disabled</t>
        </is>
      </c>
      <c r="H7" s="17" t="inlineStr">
        <is>
          <t>Disabled</t>
        </is>
      </c>
      <c r="I7" s="17" t="inlineStr">
        <is>
          <t>BACKUP-ALIAS-004</t>
        </is>
      </c>
      <c r="J7" s="7" t="inlineStr">
        <is>
          <t>None</t>
        </is>
      </c>
      <c r="K7" s="7" t="inlineStr">
        <is>
          <t>Offboarded client</t>
        </is>
      </c>
      <c r="L7" s="17" t="inlineStr"/>
      <c r="M7" s="17" t="inlineStr">
        <is>
          <t>2026-06-02</t>
        </is>
      </c>
      <c r="N7" s="7" t="inlineStr">
        <is>
          <t>Demo row</t>
        </is>
      </c>
    </row>
    <row r="8">
      <c r="A8" s="9" t="inlineStr">
        <is>
          <t>SH-005</t>
        </is>
      </c>
      <c r="B8" s="9" t="inlineStr">
        <is>
          <t>CL-005</t>
        </is>
      </c>
      <c r="C8" s="15" t="inlineStr">
        <is>
          <t>2026-06-12</t>
        </is>
      </c>
      <c r="D8" s="15" t="inlineStr">
        <is>
          <t>Healthy</t>
        </is>
      </c>
      <c r="E8" s="15" t="inlineStr">
        <is>
          <t>Healthy</t>
        </is>
      </c>
      <c r="F8" s="15" t="inlineStr">
        <is>
          <t>Healthy</t>
        </is>
      </c>
      <c r="G8" s="15" t="inlineStr">
        <is>
          <t>Enabled</t>
        </is>
      </c>
      <c r="H8" s="15" t="inlineStr">
        <is>
          <t>Healthy</t>
        </is>
      </c>
      <c r="I8" s="15" t="inlineStr">
        <is>
          <t>BACKUP-ALIAS-005</t>
        </is>
      </c>
      <c r="J8" s="9" t="inlineStr">
        <is>
          <t>Info</t>
        </is>
      </c>
      <c r="K8" s="9" t="inlineStr">
        <is>
          <t>Backup verified</t>
        </is>
      </c>
      <c r="L8" s="15" t="inlineStr"/>
      <c r="M8" s="15" t="inlineStr"/>
      <c r="N8" s="9" t="inlineStr">
        <is>
          <t>Demo row</t>
        </is>
      </c>
    </row>
  </sheetData>
  <autoFilter ref="A3:N8"/>
  <mergeCells count="2">
    <mergeCell ref="A2:N2"/>
    <mergeCell ref="A1:N1"/>
  </mergeCells>
  <conditionalFormatting sqref="D4:D200">
    <cfRule type="expression" priority="1" dxfId="1">
      <formula>$D4="Healthy"</formula>
    </cfRule>
    <cfRule type="expression" priority="2" dxfId="2">
      <formula>$D4="Warning"</formula>
    </cfRule>
    <cfRule type="expression" priority="3" dxfId="6">
      <formula>$D4="Failing"</formula>
    </cfRule>
    <cfRule type="expression" priority="4" dxfId="4">
      <formula>$D4="Disabled"</formula>
    </cfRule>
  </conditionalFormatting>
  <conditionalFormatting sqref="E4:E200">
    <cfRule type="expression" priority="5" dxfId="1">
      <formula>$E4="Healthy"</formula>
    </cfRule>
    <cfRule type="expression" priority="6" dxfId="2">
      <formula>$E4="Warning"</formula>
    </cfRule>
    <cfRule type="expression" priority="7" dxfId="6">
      <formula>$E4="Failing"</formula>
    </cfRule>
    <cfRule type="expression" priority="8" dxfId="4">
      <formula>$E4="Disabled"</formula>
    </cfRule>
  </conditionalFormatting>
  <conditionalFormatting sqref="F4:F200">
    <cfRule type="expression" priority="9" dxfId="1">
      <formula>$F4="Healthy"</formula>
    </cfRule>
    <cfRule type="expression" priority="10" dxfId="2">
      <formula>$F4="Warning"</formula>
    </cfRule>
    <cfRule type="expression" priority="11" dxfId="6">
      <formula>$F4="Failing"</formula>
    </cfRule>
    <cfRule type="expression" priority="12" dxfId="4">
      <formula>$F4="Disabled"</formula>
    </cfRule>
  </conditionalFormatting>
  <conditionalFormatting sqref="G4:G200">
    <cfRule type="expression" priority="13" dxfId="1">
      <formula>$G4="Enabled"</formula>
    </cfRule>
    <cfRule type="expression" priority="14" dxfId="2">
      <formula>$G4="Limited"</formula>
    </cfRule>
    <cfRule type="expression" priority="15" dxfId="4">
      <formula>$G4="Disabled"</formula>
    </cfRule>
  </conditionalFormatting>
  <conditionalFormatting sqref="H4:H200">
    <cfRule type="expression" priority="16" dxfId="1">
      <formula>$H4="Healthy"</formula>
    </cfRule>
    <cfRule type="expression" priority="17" dxfId="2">
      <formula>$H4="Warning"</formula>
    </cfRule>
    <cfRule type="expression" priority="18" dxfId="3">
      <formula>$H4="Missing"</formula>
    </cfRule>
    <cfRule type="expression" priority="19" dxfId="4">
      <formula>$H4="Disabled"</formula>
    </cfRule>
  </conditionalFormatting>
  <conditionalFormatting sqref="J4:J200">
    <cfRule type="expression" priority="20" dxfId="9">
      <formula>$J4="None"</formula>
    </cfRule>
    <cfRule type="expression" priority="21" dxfId="5">
      <formula>$J4="Info"</formula>
    </cfRule>
    <cfRule type="expression" priority="22" dxfId="2">
      <formula>$J4="Warning"</formula>
    </cfRule>
    <cfRule type="expression" priority="23" dxfId="6">
      <formula>$J4="Blocker"</formula>
    </cfRule>
  </conditionalFormatting>
  <dataValidations count="6">
    <dataValidation sqref="D4:D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Lists'!$S$5:$S$8</formula1>
    </dataValidation>
    <dataValidation sqref="E4:E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Lists'!$E$5:$E$9</formula1>
    </dataValidation>
    <dataValidation sqref="F4:F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Lists'!$T$5:$T$8</formula1>
    </dataValidation>
    <dataValidation sqref="G4:G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Lists'!$V$5:$V$7</formula1>
    </dataValidation>
    <dataValidation sqref="H4:H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Lists'!$U$5:$U$8</formula1>
    </dataValidation>
    <dataValidation sqref="J4:J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Lists'!$O$5:$O$8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6D7A"/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16" customWidth="1" min="5" max="5"/>
    <col width="18" customWidth="1" min="6" max="6"/>
    <col width="16" customWidth="1" min="7" max="7"/>
    <col width="18" customWidth="1" min="8" max="8"/>
    <col width="18" customWidth="1" min="9" max="9"/>
    <col width="24" customWidth="1" min="10" max="10"/>
  </cols>
  <sheetData>
    <row r="1" ht="30" customHeight="1">
      <c r="A1" s="1" t="inlineStr">
        <is>
          <t>Calendar Visibility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Planning/reference only. Calendar is not proof or payroll truth.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Calendar Rule ID</t>
        </is>
      </c>
      <c r="B3" s="4" t="inlineStr">
        <is>
          <t>Client ID</t>
        </is>
      </c>
      <c r="C3" s="4" t="inlineStr">
        <is>
          <t>Calendar Visibility Status</t>
        </is>
      </c>
      <c r="D3" s="4" t="inlineStr">
        <is>
          <t>Allowed Calendar Use</t>
        </is>
      </c>
      <c r="E3" s="4" t="inlineStr">
        <is>
          <t>Worker Detail Exposure</t>
        </is>
      </c>
      <c r="F3" s="4" t="inlineStr">
        <is>
          <t>Schedule Detail Exposure</t>
        </is>
      </c>
      <c r="G3" s="4" t="inlineStr">
        <is>
          <t>Proof Source</t>
        </is>
      </c>
      <c r="H3" s="4" t="inlineStr">
        <is>
          <t>Sync Direction</t>
        </is>
      </c>
      <c r="I3" s="4" t="inlineStr">
        <is>
          <t>Last Calendar Sync</t>
        </is>
      </c>
      <c r="J3" s="4" t="inlineStr">
        <is>
          <t>Notes</t>
        </is>
      </c>
    </row>
    <row r="4">
      <c r="A4" s="9" t="inlineStr">
        <is>
          <t>CR-001</t>
        </is>
      </c>
      <c r="B4" s="15" t="inlineStr">
        <is>
          <t>CL-001</t>
        </is>
      </c>
      <c r="C4" s="9" t="inlineStr">
        <is>
          <t>Enabled</t>
        </is>
      </c>
      <c r="D4" s="9" t="inlineStr">
        <is>
          <t>Owner to Client</t>
        </is>
      </c>
      <c r="E4" s="9" t="inlineStr">
        <is>
          <t>Alias Only</t>
        </is>
      </c>
      <c r="F4" s="9" t="inlineStr">
        <is>
          <t>Summary Only</t>
        </is>
      </c>
      <c r="G4" s="9" t="inlineStr">
        <is>
          <t>Client Report</t>
        </is>
      </c>
      <c r="H4" s="9" t="inlineStr">
        <is>
          <t>Owner to Client</t>
        </is>
      </c>
      <c r="I4" s="15" t="inlineStr">
        <is>
          <t>2026-06-12</t>
        </is>
      </c>
      <c r="J4" s="9" t="inlineStr">
        <is>
          <t>Calendar reference only</t>
        </is>
      </c>
    </row>
    <row r="5">
      <c r="A5" s="7" t="inlineStr">
        <is>
          <t>CR-002</t>
        </is>
      </c>
      <c r="B5" s="17" t="inlineStr">
        <is>
          <t>CL-002</t>
        </is>
      </c>
      <c r="C5" s="7" t="inlineStr">
        <is>
          <t>Limited</t>
        </is>
      </c>
      <c r="D5" s="7" t="inlineStr">
        <is>
          <t>Owner to Client</t>
        </is>
      </c>
      <c r="E5" s="7" t="inlineStr">
        <is>
          <t>Count Only</t>
        </is>
      </c>
      <c r="F5" s="7" t="inlineStr">
        <is>
          <t>Summary Only</t>
        </is>
      </c>
      <c r="G5" s="7" t="inlineStr">
        <is>
          <t>Client Report</t>
        </is>
      </c>
      <c r="H5" s="7" t="inlineStr">
        <is>
          <t>Owner to Client</t>
        </is>
      </c>
      <c r="I5" s="17" t="inlineStr">
        <is>
          <t>2026-06-11</t>
        </is>
      </c>
      <c r="J5" s="7" t="inlineStr">
        <is>
          <t>Limited reference only</t>
        </is>
      </c>
    </row>
    <row r="6">
      <c r="A6" s="9" t="inlineStr">
        <is>
          <t>CR-003</t>
        </is>
      </c>
      <c r="B6" s="15" t="inlineStr">
        <is>
          <t>CL-003</t>
        </is>
      </c>
      <c r="C6" s="9" t="inlineStr">
        <is>
          <t>Disabled</t>
        </is>
      </c>
      <c r="D6" s="9" t="inlineStr">
        <is>
          <t>None</t>
        </is>
      </c>
      <c r="E6" s="9" t="inlineStr">
        <is>
          <t>None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15" t="inlineStr">
        <is>
          <t>2026-06-10</t>
        </is>
      </c>
      <c r="J6" s="9" t="inlineStr">
        <is>
          <t>Disabled during suspension</t>
        </is>
      </c>
    </row>
    <row r="7">
      <c r="A7" s="7" t="inlineStr">
        <is>
          <t>CR-004</t>
        </is>
      </c>
      <c r="B7" s="17" t="inlineStr">
        <is>
          <t>CL-004</t>
        </is>
      </c>
      <c r="C7" s="7" t="inlineStr">
        <is>
          <t>Disabled</t>
        </is>
      </c>
      <c r="D7" s="7" t="inlineStr">
        <is>
          <t>None</t>
        </is>
      </c>
      <c r="E7" s="7" t="inlineStr">
        <is>
          <t>None</t>
        </is>
      </c>
      <c r="F7" s="7" t="inlineStr">
        <is>
          <t>None</t>
        </is>
      </c>
      <c r="G7" s="7" t="inlineStr">
        <is>
          <t>None</t>
        </is>
      </c>
      <c r="H7" s="7" t="inlineStr">
        <is>
          <t>None</t>
        </is>
      </c>
      <c r="I7" s="17" t="inlineStr">
        <is>
          <t>2026-06-02</t>
        </is>
      </c>
      <c r="J7" s="7" t="inlineStr">
        <is>
          <t>Offboarded client</t>
        </is>
      </c>
    </row>
    <row r="8">
      <c r="A8" s="9" t="inlineStr">
        <is>
          <t>CR-005</t>
        </is>
      </c>
      <c r="B8" s="15" t="inlineStr">
        <is>
          <t>CL-005</t>
        </is>
      </c>
      <c r="C8" s="9" t="inlineStr">
        <is>
          <t>Enabled</t>
        </is>
      </c>
      <c r="D8" s="9" t="inlineStr">
        <is>
          <t>Owner to Client</t>
        </is>
      </c>
      <c r="E8" s="9" t="inlineStr">
        <is>
          <t>Alias Only</t>
        </is>
      </c>
      <c r="F8" s="9" t="inlineStr">
        <is>
          <t>Client Approved</t>
        </is>
      </c>
      <c r="G8" s="9" t="inlineStr">
        <is>
          <t>Worker Export</t>
        </is>
      </c>
      <c r="H8" s="9" t="inlineStr">
        <is>
          <t>Two Way Limited</t>
        </is>
      </c>
      <c r="I8" s="15" t="inlineStr">
        <is>
          <t>2026-06-12</t>
        </is>
      </c>
      <c r="J8" s="9" t="inlineStr">
        <is>
          <t>Owner reviewed</t>
        </is>
      </c>
    </row>
  </sheetData>
  <autoFilter ref="A3:J8"/>
  <mergeCells count="2">
    <mergeCell ref="A1:J1"/>
    <mergeCell ref="A2:J2"/>
  </mergeCells>
  <conditionalFormatting sqref="C4:C200">
    <cfRule type="expression" priority="1" dxfId="4">
      <formula>$C4="Disabled"</formula>
    </cfRule>
    <cfRule type="expression" priority="2" dxfId="2">
      <formula>$C4="Limited"</formula>
    </cfRule>
    <cfRule type="expression" priority="3" dxfId="1">
      <formula>$C4="Enabled"</formula>
    </cfRule>
  </conditionalFormatting>
  <dataValidations count="5">
    <dataValidation sqref="C4:C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Lists'!$H$5:$H$7</formula1>
    </dataValidation>
    <dataValidation sqref="E4:E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Lists'!$I$5:$I$7</formula1>
    </dataValidation>
    <dataValidation sqref="F4:F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Lists'!$J$5:$J$7</formula1>
    </dataValidation>
    <dataValidation sqref="G4:G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Lists'!$K$5:$K$8</formula1>
    </dataValidation>
    <dataValidation sqref="H4:H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Lists'!$L$5:$L$8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7A4B4B"/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26" customWidth="1" min="7" max="7"/>
    <col width="22" customWidth="1" min="8" max="8"/>
    <col width="16" customWidth="1" min="9" max="9"/>
    <col width="14" customWidth="1" min="10" max="10"/>
    <col width="24" customWidth="1" min="11" max="11"/>
  </cols>
  <sheetData>
    <row r="1" ht="30" customHeight="1">
      <c r="A1" s="1" t="inlineStr">
        <is>
          <t>Support Notes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Owner notes for follow-up, review, and account support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Support Note ID</t>
        </is>
      </c>
      <c r="B3" s="4" t="inlineStr">
        <is>
          <t>Client ID</t>
        </is>
      </c>
      <c r="C3" s="4" t="inlineStr">
        <is>
          <t>Note Date</t>
        </is>
      </c>
      <c r="D3" s="4" t="inlineStr">
        <is>
          <t>Note Type</t>
        </is>
      </c>
      <c r="E3" s="4" t="inlineStr">
        <is>
          <t>Priority</t>
        </is>
      </c>
      <c r="F3" s="4" t="inlineStr">
        <is>
          <t>Status</t>
        </is>
      </c>
      <c r="G3" s="4" t="inlineStr">
        <is>
          <t>Summary</t>
        </is>
      </c>
      <c r="H3" s="4" t="inlineStr">
        <is>
          <t>Owner Next Action</t>
        </is>
      </c>
      <c r="I3" s="4" t="inlineStr">
        <is>
          <t>Follow-up Date</t>
        </is>
      </c>
      <c r="J3" s="4" t="inlineStr">
        <is>
          <t>Resolved Date</t>
        </is>
      </c>
      <c r="K3" s="4" t="inlineStr">
        <is>
          <t>Notes</t>
        </is>
      </c>
    </row>
    <row r="4">
      <c r="A4" s="9" t="inlineStr">
        <is>
          <t>SN-001</t>
        </is>
      </c>
      <c r="B4" s="9" t="inlineStr">
        <is>
          <t>CL-001</t>
        </is>
      </c>
      <c r="C4" s="9" t="inlineStr">
        <is>
          <t>2026-06-08</t>
        </is>
      </c>
      <c r="D4" s="9" t="inlineStr">
        <is>
          <t>Bridge</t>
        </is>
      </c>
      <c r="E4" s="9" t="inlineStr">
        <is>
          <t>High</t>
        </is>
      </c>
      <c r="F4" s="9" t="inlineStr">
        <is>
          <t>Open</t>
        </is>
      </c>
      <c r="G4" s="9" t="inlineStr">
        <is>
          <t>Bridge retry threshold reached</t>
        </is>
      </c>
      <c r="H4" s="9" t="inlineStr">
        <is>
          <t>Review endpoint alias</t>
        </is>
      </c>
      <c r="I4" s="9" t="inlineStr">
        <is>
          <t>2026-06-14</t>
        </is>
      </c>
      <c r="J4" s="9" t="inlineStr"/>
      <c r="K4" s="9" t="inlineStr">
        <is>
          <t>Need owner review</t>
        </is>
      </c>
    </row>
    <row r="5">
      <c r="A5" s="7" t="inlineStr">
        <is>
          <t>SN-002</t>
        </is>
      </c>
      <c r="B5" s="7" t="inlineStr">
        <is>
          <t>CL-002</t>
        </is>
      </c>
      <c r="C5" s="7" t="inlineStr">
        <is>
          <t>2026-06-09</t>
        </is>
      </c>
      <c r="D5" s="7" t="inlineStr">
        <is>
          <t>Billing</t>
        </is>
      </c>
      <c r="E5" s="7" t="inlineStr">
        <is>
          <t>Urgent</t>
        </is>
      </c>
      <c r="F5" s="7" t="inlineStr">
        <is>
          <t>Waiting</t>
        </is>
      </c>
      <c r="G5" s="7" t="inlineStr">
        <is>
          <t>Grace period ending soon</t>
        </is>
      </c>
      <c r="H5" s="7" t="inlineStr">
        <is>
          <t>Confirm payment alias</t>
        </is>
      </c>
      <c r="I5" s="7" t="inlineStr">
        <is>
          <t>2026-06-13</t>
        </is>
      </c>
      <c r="J5" s="7" t="inlineStr"/>
      <c r="K5" s="7" t="inlineStr">
        <is>
          <t>Escalate if not updated</t>
        </is>
      </c>
    </row>
    <row r="6">
      <c r="A6" s="9" t="inlineStr">
        <is>
          <t>SN-003</t>
        </is>
      </c>
      <c r="B6" s="9" t="inlineStr">
        <is>
          <t>CL-003</t>
        </is>
      </c>
      <c r="C6" s="9" t="inlineStr">
        <is>
          <t>2026-06-10</t>
        </is>
      </c>
      <c r="D6" s="9" t="inlineStr">
        <is>
          <t>Access</t>
        </is>
      </c>
      <c r="E6" s="9" t="inlineStr">
        <is>
          <t>Normal</t>
        </is>
      </c>
      <c r="F6" s="9" t="inlineStr">
        <is>
          <t>Resolved</t>
        </is>
      </c>
      <c r="G6" s="9" t="inlineStr">
        <is>
          <t>Access paused per owner</t>
        </is>
      </c>
      <c r="H6" s="9" t="inlineStr">
        <is>
          <t>No further action</t>
        </is>
      </c>
      <c r="I6" s="9" t="inlineStr"/>
      <c r="J6" s="9" t="inlineStr">
        <is>
          <t>2026-06-11</t>
        </is>
      </c>
      <c r="K6" s="9" t="inlineStr">
        <is>
          <t>Resolved note</t>
        </is>
      </c>
    </row>
    <row r="7">
      <c r="A7" s="7" t="inlineStr">
        <is>
          <t>SN-004</t>
        </is>
      </c>
      <c r="B7" s="7" t="inlineStr">
        <is>
          <t>CL-004</t>
        </is>
      </c>
      <c r="C7" s="7" t="inlineStr">
        <is>
          <t>Offboard</t>
        </is>
      </c>
      <c r="D7" s="7" t="inlineStr">
        <is>
          <t>Low</t>
        </is>
      </c>
      <c r="E7" s="7" t="inlineStr">
        <is>
          <t>Archived</t>
        </is>
      </c>
      <c r="F7" s="7" t="inlineStr">
        <is>
          <t>Archived</t>
        </is>
      </c>
      <c r="G7" s="7" t="inlineStr">
        <is>
          <t>Client archived</t>
        </is>
      </c>
      <c r="H7" s="7" t="inlineStr">
        <is>
          <t>No action</t>
        </is>
      </c>
      <c r="I7" s="7" t="inlineStr"/>
      <c r="J7" s="7" t="inlineStr">
        <is>
          <t>2026-06-02</t>
        </is>
      </c>
      <c r="K7" s="7" t="inlineStr">
        <is>
          <t>Archived note</t>
        </is>
      </c>
    </row>
    <row r="8">
      <c r="A8" s="9" t="inlineStr">
        <is>
          <t>SN-005</t>
        </is>
      </c>
      <c r="B8" s="9" t="inlineStr">
        <is>
          <t>CL-005</t>
        </is>
      </c>
      <c r="C8" s="9" t="inlineStr">
        <is>
          <t>2026-06-12</t>
        </is>
      </c>
      <c r="D8" s="9" t="inlineStr">
        <is>
          <t>Calendar</t>
        </is>
      </c>
      <c r="E8" s="9" t="inlineStr">
        <is>
          <t>Urgent</t>
        </is>
      </c>
      <c r="F8" s="9" t="inlineStr">
        <is>
          <t>Open</t>
        </is>
      </c>
      <c r="G8" s="9" t="inlineStr">
        <is>
          <t>Calendar visibility review needed</t>
        </is>
      </c>
      <c r="H8" s="9" t="inlineStr">
        <is>
          <t>Check alias-only rule</t>
        </is>
      </c>
      <c r="I8" s="9" t="inlineStr">
        <is>
          <t>2026-06-15</t>
        </is>
      </c>
      <c r="J8" s="9" t="inlineStr"/>
      <c r="K8" s="9" t="inlineStr">
        <is>
          <t>Calendar rule owner review</t>
        </is>
      </c>
    </row>
  </sheetData>
  <autoFilter ref="A3:K8"/>
  <mergeCells count="2">
    <mergeCell ref="A2:K2"/>
    <mergeCell ref="A1:K1"/>
  </mergeCells>
  <conditionalFormatting sqref="E4:E200">
    <cfRule type="expression" priority="1" dxfId="1">
      <formula>$E4="Low"</formula>
    </cfRule>
    <cfRule type="expression" priority="2" dxfId="5">
      <formula>$E4="Normal"</formula>
    </cfRule>
    <cfRule type="expression" priority="3" dxfId="2">
      <formula>$E4="High"</formula>
    </cfRule>
    <cfRule type="expression" priority="4" dxfId="6">
      <formula>$E4="Urgent"</formula>
    </cfRule>
  </conditionalFormatting>
  <conditionalFormatting sqref="F4:F200">
    <cfRule type="expression" priority="5" dxfId="2">
      <formula>$F4="Open"</formula>
    </cfRule>
    <cfRule type="expression" priority="6" dxfId="3">
      <formula>$F4="Waiting"</formula>
    </cfRule>
    <cfRule type="expression" priority="7" dxfId="1">
      <formula>$F4="Resolved"</formula>
    </cfRule>
    <cfRule type="expression" priority="8" dxfId="4">
      <formula>$F4="Archived"</formula>
    </cfRule>
  </conditionalFormatting>
  <dataValidations count="2">
    <dataValidation sqref="E4:E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Lists'!$M$5:$M$8</formula1>
    </dataValidation>
    <dataValidation sqref="F4:F200" showDropDown="0" showInputMessage="0" showErrorMessage="0" allowBlank="1" errorTitle="Invalid value" error="Select a value from the dropdown list." promptTitle="Choose from list" prompt="Use the allowed private-control values only." type="list">
      <formula1>='Dropdown Lists'!$N$5:$N$8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D4D4D"/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8" customWidth="1" min="8" max="8"/>
    <col width="16" customWidth="1" min="9" max="9"/>
    <col width="24" customWidth="1" min="10" max="10"/>
  </cols>
  <sheetData>
    <row r="1" ht="30" customHeight="1">
      <c r="A1" s="1" t="inlineStr">
        <is>
          <t>Owner Audit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Append-only owner activity trail.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Audit ID</t>
        </is>
      </c>
      <c r="B3" s="4" t="inlineStr">
        <is>
          <t>Timestamp</t>
        </is>
      </c>
      <c r="C3" s="4" t="inlineStr">
        <is>
          <t>Actor Alias</t>
        </is>
      </c>
      <c r="D3" s="4" t="inlineStr">
        <is>
          <t>Area</t>
        </is>
      </c>
      <c r="E3" s="4" t="inlineStr">
        <is>
          <t>Client ID</t>
        </is>
      </c>
      <c r="F3" s="4" t="inlineStr">
        <is>
          <t>Action</t>
        </is>
      </c>
      <c r="G3" s="4" t="inlineStr">
        <is>
          <t>Previous Value</t>
        </is>
      </c>
      <c r="H3" s="4" t="inlineStr">
        <is>
          <t>New Value</t>
        </is>
      </c>
      <c r="I3" s="4" t="inlineStr">
        <is>
          <t>Reason</t>
        </is>
      </c>
      <c r="J3" s="4" t="inlineStr">
        <is>
          <t>Notes</t>
        </is>
      </c>
    </row>
    <row r="4">
      <c r="A4" s="9" t="inlineStr">
        <is>
          <t>AUD-001</t>
        </is>
      </c>
      <c r="B4" s="15" t="inlineStr">
        <is>
          <t>2026-06-10 09:00</t>
        </is>
      </c>
      <c r="C4" s="15" t="inlineStr">
        <is>
          <t>Owner</t>
        </is>
      </c>
      <c r="D4" s="9" t="inlineStr">
        <is>
          <t>Access</t>
        </is>
      </c>
      <c r="E4" s="9" t="inlineStr">
        <is>
          <t>CL-001</t>
        </is>
      </c>
      <c r="F4" s="9" t="inlineStr">
        <is>
          <t>Enabled</t>
        </is>
      </c>
      <c r="G4" s="9" t="inlineStr">
        <is>
          <t>Limited</t>
        </is>
      </c>
      <c r="H4" s="9" t="inlineStr">
        <is>
          <t>Plan review</t>
        </is>
      </c>
      <c r="I4" s="15" t="inlineStr">
        <is>
          <t>Owner review note</t>
        </is>
      </c>
    </row>
    <row r="5">
      <c r="A5" s="7" t="inlineStr">
        <is>
          <t>AUD-002</t>
        </is>
      </c>
      <c r="B5" s="17" t="inlineStr">
        <is>
          <t>2026-06-10 09:15</t>
        </is>
      </c>
      <c r="C5" s="17" t="inlineStr">
        <is>
          <t>Owner</t>
        </is>
      </c>
      <c r="D5" s="7" t="inlineStr">
        <is>
          <t>Billing</t>
        </is>
      </c>
      <c r="E5" s="7" t="inlineStr">
        <is>
          <t>CL-002</t>
        </is>
      </c>
      <c r="F5" s="7" t="inlineStr">
        <is>
          <t>Current</t>
        </is>
      </c>
      <c r="G5" s="7" t="inlineStr">
        <is>
          <t>Grace Period</t>
        </is>
      </c>
      <c r="H5" s="7" t="inlineStr">
        <is>
          <t>Invoice follow-up</t>
        </is>
      </c>
      <c r="I5" s="17" t="inlineStr">
        <is>
          <t>Owner review note</t>
        </is>
      </c>
    </row>
    <row r="6">
      <c r="A6" s="9" t="inlineStr">
        <is>
          <t>AUD-003</t>
        </is>
      </c>
      <c r="B6" s="15" t="inlineStr">
        <is>
          <t>2026-06-10 09:30</t>
        </is>
      </c>
      <c r="C6" s="15" t="inlineStr">
        <is>
          <t>Owner</t>
        </is>
      </c>
      <c r="D6" s="9" t="inlineStr">
        <is>
          <t>Bridge</t>
        </is>
      </c>
      <c r="E6" s="9" t="inlineStr">
        <is>
          <t>CL-003</t>
        </is>
      </c>
      <c r="F6" s="9" t="inlineStr">
        <is>
          <t>Warning</t>
        </is>
      </c>
      <c r="G6" s="9" t="inlineStr">
        <is>
          <t>Failing</t>
        </is>
      </c>
      <c r="H6" s="9" t="inlineStr">
        <is>
          <t>Bridge triage</t>
        </is>
      </c>
      <c r="I6" s="15" t="inlineStr">
        <is>
          <t>Owner review note</t>
        </is>
      </c>
    </row>
    <row r="7">
      <c r="A7" s="7" t="inlineStr">
        <is>
          <t>AUD-004</t>
        </is>
      </c>
      <c r="B7" s="17" t="inlineStr">
        <is>
          <t>2026-06-10 09:45</t>
        </is>
      </c>
      <c r="C7" s="17" t="inlineStr">
        <is>
          <t>Owner</t>
        </is>
      </c>
      <c r="D7" s="7" t="inlineStr">
        <is>
          <t>Support</t>
        </is>
      </c>
      <c r="E7" s="7" t="inlineStr">
        <is>
          <t>CL-005</t>
        </is>
      </c>
      <c r="F7" s="7" t="inlineStr">
        <is>
          <t>Open</t>
        </is>
      </c>
      <c r="G7" s="7" t="inlineStr">
        <is>
          <t>Waiting</t>
        </is>
      </c>
      <c r="H7" s="7" t="inlineStr">
        <is>
          <t>Support ticket created</t>
        </is>
      </c>
      <c r="I7" s="17" t="inlineStr">
        <is>
          <t>Owner review note</t>
        </is>
      </c>
    </row>
  </sheetData>
  <autoFilter ref="A3:J7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607D8B"/>
    <outlinePr summaryBelow="1" summaryRight="1"/>
    <pageSetUpPr/>
  </sheetPr>
  <dimension ref="A1:V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9" customWidth="1" min="9" max="9"/>
    <col width="26" customWidth="1" min="10" max="10"/>
    <col width="2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1" customWidth="1" min="18" max="18"/>
    <col width="22" customWidth="1" min="19" max="19"/>
    <col width="18" customWidth="1" min="20" max="20"/>
    <col width="21" customWidth="1" min="21" max="21"/>
    <col width="18" customWidth="1" min="22" max="22"/>
  </cols>
  <sheetData>
    <row r="1" ht="30" customHeight="1">
      <c r="A1" s="1" t="inlineStr">
        <is>
          <t>Dropdown Lists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4" customHeight="1">
      <c r="A2" s="3" t="inlineStr">
        <is>
          <t>Reference values used by data validation on control-plane tabs.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4" t="inlineStr">
        <is>
          <t>Client Status</t>
        </is>
      </c>
      <c r="B3" s="4" t="inlineStr">
        <is>
          <t>Access Status</t>
        </is>
      </c>
      <c r="C3" s="4" t="inlineStr">
        <is>
          <t>Billing Status</t>
        </is>
      </c>
      <c r="D3" s="4" t="inlineStr">
        <is>
          <t>Plan Tier</t>
        </is>
      </c>
      <c r="E3" s="4" t="inlineStr">
        <is>
          <t>Bridge Status</t>
        </is>
      </c>
      <c r="F3" s="4" t="inlineStr">
        <is>
          <t>Token Status</t>
        </is>
      </c>
      <c r="G3" s="4" t="inlineStr">
        <is>
          <t>Feature Status</t>
        </is>
      </c>
      <c r="H3" s="4" t="inlineStr">
        <is>
          <t>Calendar Visibility Status</t>
        </is>
      </c>
      <c r="I3" s="4" t="inlineStr">
        <is>
          <t>Calendar Status</t>
        </is>
      </c>
      <c r="J3" s="4" t="inlineStr">
        <is>
          <t>Worker Detail Exposure</t>
        </is>
      </c>
      <c r="K3" s="4" t="inlineStr">
        <is>
          <t>Schedule Detail Exposure</t>
        </is>
      </c>
      <c r="L3" s="4" t="inlineStr">
        <is>
          <t>Proof Source</t>
        </is>
      </c>
      <c r="M3" s="4" t="inlineStr">
        <is>
          <t>Sync Direction</t>
        </is>
      </c>
      <c r="N3" s="4" t="inlineStr">
        <is>
          <t>Priority</t>
        </is>
      </c>
      <c r="O3" s="4" t="inlineStr">
        <is>
          <t>Support Status</t>
        </is>
      </c>
      <c r="P3" s="4" t="inlineStr">
        <is>
          <t>Issue Severity</t>
        </is>
      </c>
      <c r="Q3" s="4" t="inlineStr">
        <is>
          <t>Boolean</t>
        </is>
      </c>
      <c r="R3" s="4" t="inlineStr">
        <is>
          <t>Worker Data Owner</t>
        </is>
      </c>
      <c r="S3" s="4" t="inlineStr">
        <is>
          <t>Data Privacy Level</t>
        </is>
      </c>
      <c r="T3" s="4" t="inlineStr">
        <is>
          <t>Ledger Status</t>
        </is>
      </c>
      <c r="U3" s="4" t="inlineStr">
        <is>
          <t>Worker App Status</t>
        </is>
      </c>
      <c r="V3" s="4" t="inlineStr">
        <is>
          <t>Backup Status</t>
        </is>
      </c>
    </row>
    <row r="4">
      <c r="A4" s="21" t="inlineStr">
        <is>
          <t>Client Status</t>
        </is>
      </c>
      <c r="B4" s="21" t="inlineStr">
        <is>
          <t>Access Status</t>
        </is>
      </c>
      <c r="C4" s="21" t="inlineStr">
        <is>
          <t>Billing Status</t>
        </is>
      </c>
      <c r="D4" s="21" t="inlineStr">
        <is>
          <t>Plan Tier</t>
        </is>
      </c>
      <c r="E4" s="21" t="inlineStr">
        <is>
          <t>Bridge Status</t>
        </is>
      </c>
      <c r="F4" s="21" t="inlineStr">
        <is>
          <t>Token Status</t>
        </is>
      </c>
      <c r="G4" s="21" t="inlineStr">
        <is>
          <t>Feature Status</t>
        </is>
      </c>
      <c r="H4" s="21" t="inlineStr">
        <is>
          <t>Calendar Visibility Status</t>
        </is>
      </c>
      <c r="I4" s="21" t="inlineStr">
        <is>
          <t>Calendar Status</t>
        </is>
      </c>
      <c r="J4" s="21" t="inlineStr">
        <is>
          <t>Worker Detail Exposure</t>
        </is>
      </c>
      <c r="K4" s="21" t="inlineStr">
        <is>
          <t>Schedule Detail Exposure</t>
        </is>
      </c>
      <c r="L4" s="21" t="inlineStr">
        <is>
          <t>Proof Source</t>
        </is>
      </c>
      <c r="M4" s="21" t="inlineStr">
        <is>
          <t>Sync Direction</t>
        </is>
      </c>
      <c r="N4" s="21" t="inlineStr">
        <is>
          <t>Priority</t>
        </is>
      </c>
      <c r="O4" s="21" t="inlineStr">
        <is>
          <t>Support Status</t>
        </is>
      </c>
      <c r="P4" s="21" t="inlineStr">
        <is>
          <t>Issue Severity</t>
        </is>
      </c>
      <c r="Q4" s="21" t="inlineStr">
        <is>
          <t>Boolean</t>
        </is>
      </c>
      <c r="R4" s="21" t="inlineStr">
        <is>
          <t>Worker Data Owner</t>
        </is>
      </c>
      <c r="S4" s="21" t="inlineStr">
        <is>
          <t>Data Privacy Level</t>
        </is>
      </c>
      <c r="T4" s="21" t="inlineStr">
        <is>
          <t>Ledger Status</t>
        </is>
      </c>
      <c r="U4" s="21" t="inlineStr">
        <is>
          <t>Worker App Status</t>
        </is>
      </c>
      <c r="V4" s="21" t="inlineStr">
        <is>
          <t>Backup Status</t>
        </is>
      </c>
    </row>
    <row r="5">
      <c r="A5" s="7" t="inlineStr">
        <is>
          <t>Prospect</t>
        </is>
      </c>
      <c r="B5" s="7" t="inlineStr">
        <is>
          <t>Enabled</t>
        </is>
      </c>
      <c r="C5" s="7" t="inlineStr">
        <is>
          <t>Trial</t>
        </is>
      </c>
      <c r="D5" s="7" t="inlineStr">
        <is>
          <t>Demo</t>
        </is>
      </c>
      <c r="E5" s="7" t="inlineStr">
        <is>
          <t>Not Configured</t>
        </is>
      </c>
      <c r="F5" s="7" t="inlineStr">
        <is>
          <t>Not Set</t>
        </is>
      </c>
      <c r="G5" s="7" t="inlineStr">
        <is>
          <t>Enabled</t>
        </is>
      </c>
      <c r="H5" s="7" t="inlineStr">
        <is>
          <t>Disabled</t>
        </is>
      </c>
      <c r="I5" s="7" t="inlineStr">
        <is>
          <t>Disabled</t>
        </is>
      </c>
      <c r="J5" s="7" t="inlineStr">
        <is>
          <t>None</t>
        </is>
      </c>
      <c r="K5" s="7" t="inlineStr">
        <is>
          <t>None</t>
        </is>
      </c>
      <c r="L5" s="7" t="inlineStr">
        <is>
          <t>Client Ledger</t>
        </is>
      </c>
      <c r="M5" s="7" t="inlineStr">
        <is>
          <t>None</t>
        </is>
      </c>
      <c r="N5" s="7" t="inlineStr">
        <is>
          <t>Low</t>
        </is>
      </c>
      <c r="O5" s="7" t="inlineStr">
        <is>
          <t>Open</t>
        </is>
      </c>
      <c r="P5" s="7" t="inlineStr">
        <is>
          <t>None</t>
        </is>
      </c>
      <c r="Q5" s="7" t="inlineStr">
        <is>
          <t>TRUE</t>
        </is>
      </c>
      <c r="R5" s="7" t="inlineStr">
        <is>
          <t>Client Owned</t>
        </is>
      </c>
      <c r="S5" s="7" t="inlineStr">
        <is>
          <t>Count Only</t>
        </is>
      </c>
      <c r="T5" s="7" t="inlineStr">
        <is>
          <t>Healthy</t>
        </is>
      </c>
      <c r="U5" s="7" t="inlineStr">
        <is>
          <t>Healthy</t>
        </is>
      </c>
      <c r="V5" s="7" t="inlineStr">
        <is>
          <t>Healthy</t>
        </is>
      </c>
    </row>
    <row r="6">
      <c r="A6" s="9" t="inlineStr">
        <is>
          <t>Active</t>
        </is>
      </c>
      <c r="B6" s="9" t="inlineStr">
        <is>
          <t>Limited</t>
        </is>
      </c>
      <c r="C6" s="9" t="inlineStr">
        <is>
          <t>Current</t>
        </is>
      </c>
      <c r="D6" s="9" t="inlineStr">
        <is>
          <t>Starter</t>
        </is>
      </c>
      <c r="E6" s="9" t="inlineStr">
        <is>
          <t>Healthy</t>
        </is>
      </c>
      <c r="F6" s="9" t="inlineStr">
        <is>
          <t>Active</t>
        </is>
      </c>
      <c r="G6" s="9" t="inlineStr">
        <is>
          <t>Disabled</t>
        </is>
      </c>
      <c r="H6" s="9" t="inlineStr">
        <is>
          <t>Limited</t>
        </is>
      </c>
      <c r="I6" s="9" t="inlineStr">
        <is>
          <t>Limited</t>
        </is>
      </c>
      <c r="J6" s="9" t="inlineStr">
        <is>
          <t>Count Only</t>
        </is>
      </c>
      <c r="K6" s="9" t="inlineStr">
        <is>
          <t>Summary Only</t>
        </is>
      </c>
      <c r="L6" s="9" t="inlineStr">
        <is>
          <t>Worker Export</t>
        </is>
      </c>
      <c r="M6" s="9" t="inlineStr">
        <is>
          <t>Owner to Client</t>
        </is>
      </c>
      <c r="N6" s="9" t="inlineStr">
        <is>
          <t>Normal</t>
        </is>
      </c>
      <c r="O6" s="9" t="inlineStr">
        <is>
          <t>Waiting</t>
        </is>
      </c>
      <c r="P6" s="9" t="inlineStr">
        <is>
          <t>Info</t>
        </is>
      </c>
      <c r="Q6" s="9" t="inlineStr">
        <is>
          <t>FALSE</t>
        </is>
      </c>
      <c r="R6" s="9" t="inlineStr">
        <is>
          <t>Client Exported Summary</t>
        </is>
      </c>
      <c r="S6" s="9" t="inlineStr">
        <is>
          <t>Alias Only</t>
        </is>
      </c>
      <c r="T6" s="9" t="inlineStr">
        <is>
          <t>Warning</t>
        </is>
      </c>
      <c r="U6" s="9" t="inlineStr">
        <is>
          <t>Warning</t>
        </is>
      </c>
      <c r="V6" s="9" t="inlineStr">
        <is>
          <t>Warning</t>
        </is>
      </c>
    </row>
    <row r="7">
      <c r="A7" s="7" t="inlineStr">
        <is>
          <t>Paused</t>
        </is>
      </c>
      <c r="B7" s="7" t="inlineStr">
        <is>
          <t>Suspended</t>
        </is>
      </c>
      <c r="C7" s="7" t="inlineStr">
        <is>
          <t>Grace Period</t>
        </is>
      </c>
      <c r="D7" s="7" t="inlineStr">
        <is>
          <t>Standard</t>
        </is>
      </c>
      <c r="E7" s="7" t="inlineStr">
        <is>
          <t>Warning</t>
        </is>
      </c>
      <c r="F7" s="7" t="inlineStr">
        <is>
          <t>Rotate Soon</t>
        </is>
      </c>
      <c r="G7" s="7" t="inlineStr">
        <is>
          <t>Trial</t>
        </is>
      </c>
      <c r="H7" s="7" t="inlineStr">
        <is>
          <t>Enabled</t>
        </is>
      </c>
      <c r="I7" s="7" t="inlineStr">
        <is>
          <t>Enabled</t>
        </is>
      </c>
      <c r="J7" s="7" t="inlineStr">
        <is>
          <t>Alias Only</t>
        </is>
      </c>
      <c r="K7" s="7" t="inlineStr">
        <is>
          <t>Client Approved</t>
        </is>
      </c>
      <c r="L7" s="7" t="inlineStr">
        <is>
          <t>Client Report</t>
        </is>
      </c>
      <c r="M7" s="7" t="inlineStr">
        <is>
          <t>Client to Owner</t>
        </is>
      </c>
      <c r="N7" s="7" t="inlineStr">
        <is>
          <t>High</t>
        </is>
      </c>
      <c r="O7" s="7" t="inlineStr">
        <is>
          <t>Resolved</t>
        </is>
      </c>
      <c r="P7" s="7" t="inlineStr">
        <is>
          <t>Warning</t>
        </is>
      </c>
      <c r="R7" s="7" t="inlineStr">
        <is>
          <t>Owner Count Only</t>
        </is>
      </c>
      <c r="S7" s="7" t="inlineStr">
        <is>
          <t>Client Controlled</t>
        </is>
      </c>
      <c r="T7" s="7" t="inlineStr">
        <is>
          <t>Failing</t>
        </is>
      </c>
      <c r="U7" s="7" t="inlineStr">
        <is>
          <t>Failing</t>
        </is>
      </c>
      <c r="V7" s="7" t="inlineStr">
        <is>
          <t>Missing</t>
        </is>
      </c>
    </row>
    <row r="8">
      <c r="A8" s="9" t="inlineStr">
        <is>
          <t>Suspended</t>
        </is>
      </c>
      <c r="B8" s="9" t="inlineStr">
        <is>
          <t>Disabled</t>
        </is>
      </c>
      <c r="C8" s="9" t="inlineStr">
        <is>
          <t>Overdue</t>
        </is>
      </c>
      <c r="D8" s="9" t="inlineStr">
        <is>
          <t>Pro</t>
        </is>
      </c>
      <c r="E8" s="9" t="inlineStr">
        <is>
          <t>Failing</t>
        </is>
      </c>
      <c r="F8" s="9" t="inlineStr">
        <is>
          <t>Expired</t>
        </is>
      </c>
      <c r="G8" s="9" t="inlineStr">
        <is>
          <t>Locked</t>
        </is>
      </c>
      <c r="L8" s="9" t="inlineStr">
        <is>
          <t>None</t>
        </is>
      </c>
      <c r="M8" s="9" t="inlineStr">
        <is>
          <t>Two Way Limited</t>
        </is>
      </c>
      <c r="N8" s="9" t="inlineStr">
        <is>
          <t>Urgent</t>
        </is>
      </c>
      <c r="O8" s="9" t="inlineStr">
        <is>
          <t>Archived</t>
        </is>
      </c>
      <c r="P8" s="9" t="inlineStr">
        <is>
          <t>Blocker</t>
        </is>
      </c>
      <c r="T8" s="9" t="inlineStr">
        <is>
          <t>Disabled</t>
        </is>
      </c>
      <c r="U8" s="9" t="inlineStr">
        <is>
          <t>Disabled</t>
        </is>
      </c>
      <c r="V8" s="9" t="inlineStr">
        <is>
          <t>Disabled</t>
        </is>
      </c>
    </row>
    <row r="9">
      <c r="A9" s="7" t="inlineStr">
        <is>
          <t>Offboarded</t>
        </is>
      </c>
      <c r="C9" s="7" t="inlineStr">
        <is>
          <t>Canceled</t>
        </is>
      </c>
      <c r="D9" s="7" t="inlineStr">
        <is>
          <t>Custom</t>
        </is>
      </c>
      <c r="E9" s="7" t="inlineStr">
        <is>
          <t>Disabled</t>
        </is>
      </c>
      <c r="F9" s="7" t="inlineStr">
        <is>
          <t>Revoked</t>
        </is>
      </c>
    </row>
  </sheetData>
  <autoFilter ref="A3:V9"/>
  <mergeCells count="2">
    <mergeCell ref="A2:V2"/>
    <mergeCell ref="A1:V1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3F51B5"/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8" customWidth="1" min="2" max="2"/>
    <col width="28" customWidth="1" min="3" max="3"/>
    <col width="28" customWidth="1" min="4" max="4"/>
  </cols>
  <sheetData>
    <row r="1" ht="30" customHeight="1">
      <c r="A1" s="1" t="inlineStr">
        <is>
          <t>Data Dictionary</t>
        </is>
      </c>
      <c r="B1" s="2" t="n"/>
      <c r="C1" s="2" t="n"/>
      <c r="D1" s="2" t="n"/>
    </row>
    <row r="2" ht="24" customHeight="1">
      <c r="A2" s="3" t="inlineStr">
        <is>
          <t>Major fields and privacy boundaries for each owner-control tab.</t>
        </is>
      </c>
      <c r="B2" s="2" t="n"/>
      <c r="C2" s="2" t="n"/>
      <c r="D2" s="2" t="n"/>
    </row>
    <row r="3">
      <c r="A3" s="4" t="inlineStr">
        <is>
          <t>Tab</t>
        </is>
      </c>
      <c r="B3" s="4" t="inlineStr">
        <is>
          <t>Major Fields</t>
        </is>
      </c>
      <c r="C3" s="4" t="inlineStr">
        <is>
          <t>Privacy Boundary</t>
        </is>
      </c>
      <c r="D3" s="4" t="inlineStr">
        <is>
          <t>Notes</t>
        </is>
      </c>
    </row>
    <row r="4">
      <c r="A4" s="9" t="inlineStr">
        <is>
          <t>Instructions</t>
        </is>
      </c>
      <c r="B4" s="9" t="inlineStr">
        <is>
          <t>Workbook purpose, privacy boundary, control-plane rules, and placeholder-only bridge guidance.</t>
        </is>
      </c>
      <c r="C4" s="9" t="inlineStr">
        <is>
          <t>Control plane only.</t>
        </is>
      </c>
      <c r="D4" s="9" t="inlineStr">
        <is>
          <t>No worker private data.</t>
        </is>
      </c>
    </row>
    <row r="5">
      <c r="A5" s="7" t="inlineStr">
        <is>
          <t>Owner Dashboard</t>
        </is>
      </c>
      <c r="B5" s="7" t="inlineStr">
        <is>
          <t>Formula-driven summary cards and operating notes.</t>
        </is>
      </c>
      <c r="C5" s="7" t="inlineStr">
        <is>
          <t>Control plane only.</t>
        </is>
      </c>
      <c r="D5" s="7" t="inlineStr">
        <is>
          <t>No manual inputs required.</t>
        </is>
      </c>
    </row>
    <row r="6">
      <c r="A6" s="9" t="inlineStr">
        <is>
          <t>Client Registry</t>
        </is>
      </c>
      <c r="B6" s="9" t="inlineStr">
        <is>
          <t>Client ID, display name, legal name, status, allowed counts, privacy level, notes.</t>
        </is>
      </c>
      <c r="C6" s="9" t="inlineStr">
        <is>
          <t>Client-level only.</t>
        </is>
      </c>
      <c r="D6" s="9" t="inlineStr">
        <is>
          <t>No worker identity or contact data.</t>
        </is>
      </c>
    </row>
    <row r="7">
      <c r="A7" s="7" t="inlineStr">
        <is>
          <t>Client Access Control</t>
        </is>
      </c>
      <c r="B7" s="7" t="inlineStr">
        <is>
          <t>Access status, start/end dates, access reason, disabled flags, review metadata.</t>
        </is>
      </c>
      <c r="C7" s="7" t="inlineStr">
        <is>
          <t>Client-level control.</t>
        </is>
      </c>
      <c r="D7" s="7" t="inlineStr">
        <is>
          <t>No worker records.</t>
        </is>
      </c>
    </row>
    <row r="8">
      <c r="A8" s="9" t="inlineStr">
        <is>
          <t>License Billing</t>
        </is>
      </c>
      <c r="B8" s="9" t="inlineStr">
        <is>
          <t>Plan tier, billing status, billing period, renewal, allowed count, billing count.</t>
        </is>
      </c>
      <c r="C8" s="9" t="inlineStr">
        <is>
          <t>Client-level billing.</t>
        </is>
      </c>
      <c r="D8" s="9" t="inlineStr">
        <is>
          <t>No worker payroll detail.</t>
        </is>
      </c>
    </row>
    <row r="9">
      <c r="A9" s="7" t="inlineStr">
        <is>
          <t>Bridge Registry</t>
        </is>
      </c>
      <c r="B9" s="7" t="inlineStr">
        <is>
          <t>Alias-only bridge health, token status, rotation timing, error summary, counts.</t>
        </is>
      </c>
      <c r="C9" s="7" t="inlineStr">
        <is>
          <t>No real endpoint URLs or tokens.</t>
        </is>
      </c>
      <c r="D9" s="7" t="inlineStr">
        <is>
          <t>Alias/status fields only.</t>
        </is>
      </c>
    </row>
    <row r="10">
      <c r="A10" s="9" t="inlineStr">
        <is>
          <t>Feature Flags</t>
        </is>
      </c>
      <c r="B10" s="9" t="inlineStr">
        <is>
          <t>Client-specific feature controls and effective dates.</t>
        </is>
      </c>
      <c r="C10" s="9" t="inlineStr">
        <is>
          <t>Client-level control.</t>
        </is>
      </c>
      <c r="D10" s="9" t="inlineStr">
        <is>
          <t>No worker detail.</t>
        </is>
      </c>
    </row>
    <row r="11">
      <c r="A11" s="7" t="inlineStr">
        <is>
          <t>System Health</t>
        </is>
      </c>
      <c r="B11" s="7" t="inlineStr">
        <is>
          <t>Ledger, bridge, worker app, calendar, backup, issue severity, and owner action fields.</t>
        </is>
      </c>
      <c r="C11" s="7" t="inlineStr">
        <is>
          <t>System-level only.</t>
        </is>
      </c>
      <c r="D11" s="7" t="inlineStr">
        <is>
          <t>No worker data.</t>
        </is>
      </c>
    </row>
    <row r="12">
      <c r="A12" s="9" t="inlineStr">
        <is>
          <t>Calendar Visibility</t>
        </is>
      </c>
      <c r="B12" s="9" t="inlineStr">
        <is>
          <t>Calendar use, exposure levels, proof source, and sync direction.</t>
        </is>
      </c>
      <c r="C12" s="9" t="inlineStr">
        <is>
          <t>Planning/reference only.</t>
        </is>
      </c>
      <c r="D12" s="9" t="inlineStr">
        <is>
          <t>Calendar never becomes payroll truth.</t>
        </is>
      </c>
    </row>
    <row r="13">
      <c r="A13" s="7" t="inlineStr">
        <is>
          <t>Support Notes</t>
        </is>
      </c>
      <c r="B13" s="7" t="inlineStr">
        <is>
          <t>Support triage, priorities, actions, and follow-up dates.</t>
        </is>
      </c>
      <c r="C13" s="7" t="inlineStr">
        <is>
          <t>Owner support only.</t>
        </is>
      </c>
      <c r="D13" s="7" t="inlineStr">
        <is>
          <t>No worker private notes.</t>
        </is>
      </c>
    </row>
    <row r="14">
      <c r="A14" s="9" t="inlineStr">
        <is>
          <t>Owner Audit Log</t>
        </is>
      </c>
      <c r="B14" s="9" t="inlineStr">
        <is>
          <t>Append-only history of owner actions and value changes.</t>
        </is>
      </c>
      <c r="C14" s="9" t="inlineStr">
        <is>
          <t>Audit trail only.</t>
        </is>
      </c>
      <c r="D14" s="9" t="inlineStr">
        <is>
          <t>Use aliases, not emails.</t>
        </is>
      </c>
    </row>
    <row r="15">
      <c r="A15" s="7" t="inlineStr">
        <is>
          <t>Dropdown Lists</t>
        </is>
      </c>
      <c r="B15" s="7" t="inlineStr">
        <is>
          <t>Reference values for status fields and booleans.</t>
        </is>
      </c>
      <c r="C15" s="7" t="inlineStr">
        <is>
          <t>Helper sheet only.</t>
        </is>
      </c>
      <c r="D15" s="7" t="inlineStr">
        <is>
          <t>No private data.</t>
        </is>
      </c>
    </row>
    <row r="16">
      <c r="A16" s="9" t="inlineStr">
        <is>
          <t>Apps Script Setup</t>
        </is>
      </c>
      <c r="B16" s="9" t="inlineStr">
        <is>
          <t>Manual setup steps for the workbook-bound owner-control script.</t>
        </is>
      </c>
      <c r="C16" s="9" t="inlineStr">
        <is>
          <t>Setup instructions only.</t>
        </is>
      </c>
      <c r="D16" s="9" t="inlineStr">
        <is>
          <t>No worker data connections.</t>
        </is>
      </c>
    </row>
    <row r="20">
      <c r="A20" s="22" t="inlineStr">
        <is>
          <t>Forbidden Data</t>
        </is>
      </c>
    </row>
    <row r="21">
      <c r="A21" s="7" t="inlineStr">
        <is>
          <t>Worker Email</t>
        </is>
      </c>
      <c r="B21" s="7" t="inlineStr">
        <is>
          <t>Must never be stored in this workbook.</t>
        </is>
      </c>
      <c r="C21" s="7" t="inlineStr">
        <is>
          <t>Control plane only.</t>
        </is>
      </c>
    </row>
    <row r="22">
      <c r="A22" s="9" t="inlineStr">
        <is>
          <t>Worker Phone</t>
        </is>
      </c>
      <c r="B22" s="9" t="inlineStr">
        <is>
          <t>Must never be stored in this workbook.</t>
        </is>
      </c>
      <c r="C22" s="9" t="inlineStr">
        <is>
          <t>Control plane only.</t>
        </is>
      </c>
    </row>
    <row r="23">
      <c r="A23" s="7" t="inlineStr">
        <is>
          <t>Worker Address</t>
        </is>
      </c>
      <c r="B23" s="7" t="inlineStr">
        <is>
          <t>Must never be stored in this workbook.</t>
        </is>
      </c>
      <c r="C23" s="7" t="inlineStr">
        <is>
          <t>Control plane only.</t>
        </is>
      </c>
    </row>
    <row r="24">
      <c r="A24" s="9" t="inlineStr">
        <is>
          <t>Worker SSN</t>
        </is>
      </c>
      <c r="B24" s="9" t="inlineStr">
        <is>
          <t>Must never be stored in this workbook.</t>
        </is>
      </c>
      <c r="C24" s="9" t="inlineStr">
        <is>
          <t>Control plane only.</t>
        </is>
      </c>
    </row>
    <row r="25">
      <c r="A25" s="7" t="inlineStr">
        <is>
          <t>Time Entry</t>
        </is>
      </c>
      <c r="B25" s="7" t="inlineStr">
        <is>
          <t>Must never be stored in this workbook.</t>
        </is>
      </c>
      <c r="C25" s="7" t="inlineStr">
        <is>
          <t>Control plane only.</t>
        </is>
      </c>
    </row>
    <row r="26">
      <c r="A26" s="9" t="inlineStr">
        <is>
          <t>Hours Worked</t>
        </is>
      </c>
      <c r="B26" s="9" t="inlineStr">
        <is>
          <t>Must never be stored in this workbook.</t>
        </is>
      </c>
      <c r="C26" s="9" t="inlineStr">
        <is>
          <t>Control plane only.</t>
        </is>
      </c>
    </row>
    <row r="27">
      <c r="A27" s="7" t="inlineStr">
        <is>
          <t>Pay Rate</t>
        </is>
      </c>
      <c r="B27" s="7" t="inlineStr">
        <is>
          <t>Must never be stored in this workbook.</t>
        </is>
      </c>
      <c r="C27" s="7" t="inlineStr">
        <is>
          <t>Control plane only.</t>
        </is>
      </c>
    </row>
    <row r="28">
      <c r="A28" s="9" t="inlineStr">
        <is>
          <t>Gross Pay</t>
        </is>
      </c>
      <c r="B28" s="9" t="inlineStr">
        <is>
          <t>Must never be stored in this workbook.</t>
        </is>
      </c>
      <c r="C28" s="9" t="inlineStr">
        <is>
          <t>Control plane only.</t>
        </is>
      </c>
    </row>
    <row r="29">
      <c r="A29" s="7" t="inlineStr">
        <is>
          <t>Net Pay</t>
        </is>
      </c>
      <c r="B29" s="7" t="inlineStr">
        <is>
          <t>Must never be stored in this workbook.</t>
        </is>
      </c>
      <c r="C29" s="7" t="inlineStr">
        <is>
          <t>Control plane only.</t>
        </is>
      </c>
    </row>
    <row r="30">
      <c r="A30" s="9" t="inlineStr">
        <is>
          <t>Payroll Detail</t>
        </is>
      </c>
      <c r="B30" s="9" t="inlineStr">
        <is>
          <t>Must never be stored in this workbook.</t>
        </is>
      </c>
      <c r="C30" s="9" t="inlineStr">
        <is>
          <t>Control plane only.</t>
        </is>
      </c>
    </row>
    <row r="31">
      <c r="A31" s="7" t="inlineStr">
        <is>
          <t>Proof Photo</t>
        </is>
      </c>
      <c r="B31" s="7" t="inlineStr">
        <is>
          <t>Must never be stored in this workbook.</t>
        </is>
      </c>
      <c r="C31" s="7" t="inlineStr">
        <is>
          <t>Control plane only.</t>
        </is>
      </c>
    </row>
    <row r="32">
      <c r="A32" s="9" t="inlineStr">
        <is>
          <t>Private Worker Notes</t>
        </is>
      </c>
      <c r="B32" s="9" t="inlineStr">
        <is>
          <t>Must never be stored in this workbook.</t>
        </is>
      </c>
      <c r="C32" s="9" t="inlineStr">
        <is>
          <t>Control plane only.</t>
        </is>
      </c>
    </row>
    <row r="33">
      <c r="A33" s="7" t="inlineStr">
        <is>
          <t>Worker Notes</t>
        </is>
      </c>
      <c r="B33" s="7" t="inlineStr">
        <is>
          <t>Must never be stored in this workbook.</t>
        </is>
      </c>
      <c r="C33" s="7" t="inlineStr">
        <is>
          <t>Control plane only.</t>
        </is>
      </c>
    </row>
    <row r="34">
      <c r="A34" s="9" t="inlineStr">
        <is>
          <t>Worker Time Detail</t>
        </is>
      </c>
      <c r="B34" s="9" t="inlineStr">
        <is>
          <t>Must never be stored in this workbook.</t>
        </is>
      </c>
      <c r="C34" s="9" t="inlineStr">
        <is>
          <t>Control plane only.</t>
        </is>
      </c>
    </row>
    <row r="35">
      <c r="A35" s="7" t="inlineStr">
        <is>
          <t>Worker Payroll Detail</t>
        </is>
      </c>
      <c r="B35" s="7" t="inlineStr">
        <is>
          <t>Must never be stored in this workbook.</t>
        </is>
      </c>
      <c r="C35" s="7" t="inlineStr">
        <is>
          <t>Control plane only.</t>
        </is>
      </c>
    </row>
  </sheetData>
  <mergeCells count="3">
    <mergeCell ref="A1:D1"/>
    <mergeCell ref="A20:D20"/>
    <mergeCell ref="A2:D2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tabColor rgb="002E7D32"/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  <col width="28" customWidth="1" min="3" max="3"/>
  </cols>
  <sheetData>
    <row r="1" ht="30" customHeight="1">
      <c r="A1" s="1" t="inlineStr">
        <is>
          <t>Apps Script Setup</t>
        </is>
      </c>
      <c r="B1" s="2" t="n"/>
      <c r="C1" s="2" t="n"/>
    </row>
    <row r="2" ht="24" customHeight="1">
      <c r="A2" s="3" t="inlineStr">
        <is>
          <t>Paste the separate owner-control script into a Google Sheets copy of this workbook only.</t>
        </is>
      </c>
      <c r="B2" s="2" t="n"/>
      <c r="C2" s="2" t="n"/>
    </row>
    <row r="3">
      <c r="A3" s="4" t="inlineStr">
        <is>
          <t>Step</t>
        </is>
      </c>
      <c r="B3" s="4" t="inlineStr">
        <is>
          <t>Instructions</t>
        </is>
      </c>
      <c r="C3" s="4" t="inlineStr">
        <is>
          <t>Notes</t>
        </is>
      </c>
    </row>
    <row r="4">
      <c r="A4" s="9" t="inlineStr">
        <is>
          <t>1</t>
        </is>
      </c>
      <c r="B4" s="9" t="inlineStr">
        <is>
          <t>Open the workbook copy in Google Sheets, then open Extensions &gt; Apps Script.</t>
        </is>
      </c>
      <c r="C4" s="9" t="inlineStr">
        <is>
          <t>Workbook-bound setup only.</t>
        </is>
      </c>
    </row>
    <row r="5">
      <c r="A5" s="7" t="inlineStr">
        <is>
          <t>2</t>
        </is>
      </c>
      <c r="B5" s="7" t="inlineStr">
        <is>
          <t>Paste the contents of apps_script/CrewPay_Owner_Control.gs into a separate script file named CrewPay_Owner_Control.gs.</t>
        </is>
      </c>
      <c r="C5" s="7" t="inlineStr">
        <is>
          <t>Do not paste the ledger helper scripts here.</t>
        </is>
      </c>
    </row>
    <row r="6">
      <c r="A6" s="9" t="inlineStr">
        <is>
          <t>3</t>
        </is>
      </c>
      <c r="B6" s="9" t="inlineStr">
        <is>
          <t>Save the script project, reload the workbook, and use the CrewPay Owner Control menu.</t>
        </is>
      </c>
      <c r="C6" s="9" t="inlineStr">
        <is>
          <t>Menu functions use aliases and placeholders only.</t>
        </is>
      </c>
    </row>
    <row r="7">
      <c r="A7" s="7" t="inlineStr">
        <is>
          <t>4</t>
        </is>
      </c>
      <c r="B7" s="7" t="inlineStr">
        <is>
          <t>Run Refresh Owner Dashboard and the logging actions on sample rows only.</t>
        </is>
      </c>
      <c r="C7" s="7" t="inlineStr">
        <is>
          <t>No worker data connections.</t>
        </is>
      </c>
    </row>
    <row r="8">
      <c r="A8" s="9" t="inlineStr">
        <is>
          <t>5</t>
        </is>
      </c>
      <c r="B8" s="9" t="inlineStr">
        <is>
          <t>Confirm the script never uses GmailApp, CalendarApp, DriveApp, UrlFetchApp, ContentService, doGet, or doPost.</t>
        </is>
      </c>
      <c r="C8" s="9" t="inlineStr">
        <is>
          <t>No external API calls.</t>
        </is>
      </c>
    </row>
    <row r="9">
      <c r="A9" s="7" t="inlineStr">
        <is>
          <t>6</t>
        </is>
      </c>
      <c r="B9" s="7" t="inlineStr">
        <is>
          <t>Keep the operational CrewPay Ledger workbook and its helper scripts separate from this private owner workbook.</t>
        </is>
      </c>
      <c r="C9" s="7" t="inlineStr">
        <is>
          <t>Separate control plane.</t>
        </is>
      </c>
    </row>
  </sheetData>
  <mergeCells count="2">
    <mergeCell ref="A1:C1"/>
    <mergeCell ref="A2:C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CrewPay Owner Control Workbook</dc:title>
  <dc:description xmlns:dc="http://purl.org/dc/elements/1.1/">Private client control workbook for access, billing, bridge, flags, health, calendar visibility, and support.</dc:description>
  <dc:subject xmlns:dc="http://purl.org/dc/elements/1.1/">Tim-only owner control plane</dc:subject>
  <dcterms:created xmlns:dcterms="http://purl.org/dc/terms/" xmlns:xsi="http://www.w3.org/2001/XMLSchema-instance" xsi:type="dcterms:W3CDTF">2026-06-13T16:28:05+00:00Z</dcterms:created>
  <dcterms:modified xmlns:dcterms="http://purl.org/dc/terms/" xmlns:xsi="http://www.w3.org/2001/XMLSchema-instance" xsi:type="dcterms:W3CDTF">2026-06-13T16:28:05+00:00Z</dcterms:modified>
</cp:coreProperties>
</file>